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peraciones" sheetId="2" state="visible" r:id="rId4"/>
    <sheet name="Resumen Dia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<sst xmlns="http://schemas.openxmlformats.org/spreadsheetml/2006/main" count="1804" uniqueCount="268">
  <si>
    <t xml:space="preserve">DESCENTRALIZADOS — OPERATIVA FUTUROS PIONEX</t>
  </si>
  <si>
    <t xml:space="preserve">% Medio de Ganancia por Operación</t>
  </si>
  <si>
    <t xml:space="preserve">Balance Total ($)</t>
  </si>
  <si>
    <t xml:space="preserve">Media de Ganancia Diaria ($)</t>
  </si>
  <si>
    <t xml:space="preserve">Total operaciones</t>
  </si>
  <si>
    <t xml:space="preserve">Días operados</t>
  </si>
  <si>
    <t xml:space="preserve">Win rate</t>
  </si>
  <si>
    <t xml:space="preserve">Fecha Cierre</t>
  </si>
  <si>
    <t xml:space="preserve">Símbolo</t>
  </si>
  <si>
    <t xml:space="preserve">Lado</t>
  </si>
  <si>
    <t xml:space="preserve">Tipo</t>
  </si>
  <si>
    <t xml:space="preserve">Promedios</t>
  </si>
  <si>
    <t xml:space="preserve">Capital Desplegado ($)</t>
  </si>
  <si>
    <t xml:space="preserve">PnL Bruto ($)</t>
  </si>
  <si>
    <t xml:space="preserve">Comisiones ($)</t>
  </si>
  <si>
    <t xml:space="preserve">Funding ($)</t>
  </si>
  <si>
    <t xml:space="preserve">PnL Neto ($)</t>
  </si>
  <si>
    <t xml:space="preserve">Rentabilidad %</t>
  </si>
  <si>
    <t xml:space="preserve">Resultado</t>
  </si>
  <si>
    <t xml:space="preserve">BIO</t>
  </si>
  <si>
    <t xml:space="preserve">Short</t>
  </si>
  <si>
    <t xml:space="preserve">Manual</t>
  </si>
  <si>
    <t xml:space="preserve">TP directo</t>
  </si>
  <si>
    <t xml:space="preserve">YGG</t>
  </si>
  <si>
    <t xml:space="preserve">AZTEC</t>
  </si>
  <si>
    <t xml:space="preserve">Cerrada en pérdida</t>
  </si>
  <si>
    <t xml:space="preserve">AGLD</t>
  </si>
  <si>
    <t xml:space="preserve">FLOCK</t>
  </si>
  <si>
    <t xml:space="preserve">AKE</t>
  </si>
  <si>
    <t xml:space="preserve">TP tras 1 promedio(s)</t>
  </si>
  <si>
    <t xml:space="preserve">GRIFFAIN</t>
  </si>
  <si>
    <t xml:space="preserve">OPENEDEN</t>
  </si>
  <si>
    <t xml:space="preserve">AXL</t>
  </si>
  <si>
    <t xml:space="preserve">B</t>
  </si>
  <si>
    <t xml:space="preserve">LUNC</t>
  </si>
  <si>
    <t xml:space="preserve">FOLKS</t>
  </si>
  <si>
    <t xml:space="preserve">FOGO</t>
  </si>
  <si>
    <t xml:space="preserve">AIXBT</t>
  </si>
  <si>
    <t xml:space="preserve">PORTAL</t>
  </si>
  <si>
    <t xml:space="preserve">USTC</t>
  </si>
  <si>
    <t xml:space="preserve">SAHARA</t>
  </si>
  <si>
    <t xml:space="preserve">LAYER</t>
  </si>
  <si>
    <t xml:space="preserve">GRASS</t>
  </si>
  <si>
    <t xml:space="preserve">STBL</t>
  </si>
  <si>
    <t xml:space="preserve">HIPPO</t>
  </si>
  <si>
    <t xml:space="preserve">KNC</t>
  </si>
  <si>
    <t xml:space="preserve">PHA</t>
  </si>
  <si>
    <t xml:space="preserve">ZETA</t>
  </si>
  <si>
    <t xml:space="preserve">KAVA</t>
  </si>
  <si>
    <t xml:space="preserve">TRU</t>
  </si>
  <si>
    <t xml:space="preserve">USUAL</t>
  </si>
  <si>
    <t xml:space="preserve">AIO</t>
  </si>
  <si>
    <t xml:space="preserve">AKT</t>
  </si>
  <si>
    <t xml:space="preserve">DODO</t>
  </si>
  <si>
    <t xml:space="preserve">METIS</t>
  </si>
  <si>
    <t xml:space="preserve">TP tras 3 promedio(s)</t>
  </si>
  <si>
    <t xml:space="preserve">AIOT</t>
  </si>
  <si>
    <t xml:space="preserve">AI</t>
  </si>
  <si>
    <t xml:space="preserve">ORCA</t>
  </si>
  <si>
    <t xml:space="preserve">SQD</t>
  </si>
  <si>
    <t xml:space="preserve">OKB</t>
  </si>
  <si>
    <t xml:space="preserve">TP tras 2 promedio(s)</t>
  </si>
  <si>
    <t xml:space="preserve">ARPA</t>
  </si>
  <si>
    <t xml:space="preserve">ASR</t>
  </si>
  <si>
    <t xml:space="preserve">MAGIC</t>
  </si>
  <si>
    <t xml:space="preserve">PLUME</t>
  </si>
  <si>
    <t xml:space="preserve">BICO</t>
  </si>
  <si>
    <t xml:space="preserve">APR</t>
  </si>
  <si>
    <t xml:space="preserve">RESOLV</t>
  </si>
  <si>
    <t xml:space="preserve">ZBT</t>
  </si>
  <si>
    <t xml:space="preserve">DYM</t>
  </si>
  <si>
    <t xml:space="preserve">PTB</t>
  </si>
  <si>
    <t xml:space="preserve">BAND</t>
  </si>
  <si>
    <t xml:space="preserve">HANA</t>
  </si>
  <si>
    <t xml:space="preserve">CLO</t>
  </si>
  <si>
    <t xml:space="preserve">BABY</t>
  </si>
  <si>
    <t xml:space="preserve">BANANA</t>
  </si>
  <si>
    <t xml:space="preserve">EVAA</t>
  </si>
  <si>
    <t xml:space="preserve">SKL</t>
  </si>
  <si>
    <t xml:space="preserve">UMA</t>
  </si>
  <si>
    <t xml:space="preserve">ZRX</t>
  </si>
  <si>
    <t xml:space="preserve">TUT</t>
  </si>
  <si>
    <t xml:space="preserve">COLLECT</t>
  </si>
  <si>
    <t xml:space="preserve">DOGS</t>
  </si>
  <si>
    <t xml:space="preserve">AIN</t>
  </si>
  <si>
    <t xml:space="preserve">SXT</t>
  </si>
  <si>
    <t xml:space="preserve">DEAGENTAI</t>
  </si>
  <si>
    <t xml:space="preserve">MYX</t>
  </si>
  <si>
    <t xml:space="preserve">BSV</t>
  </si>
  <si>
    <t xml:space="preserve">XAI</t>
  </si>
  <si>
    <t xml:space="preserve">MITO</t>
  </si>
  <si>
    <t xml:space="preserve">SOLV</t>
  </si>
  <si>
    <t xml:space="preserve">TOWNS</t>
  </si>
  <si>
    <t xml:space="preserve">ZEREBRO</t>
  </si>
  <si>
    <t xml:space="preserve">TREE</t>
  </si>
  <si>
    <t xml:space="preserve">OG</t>
  </si>
  <si>
    <t xml:space="preserve">AVNT</t>
  </si>
  <si>
    <t xml:space="preserve">NFP</t>
  </si>
  <si>
    <t xml:space="preserve">STO</t>
  </si>
  <si>
    <t xml:space="preserve">UAI</t>
  </si>
  <si>
    <t xml:space="preserve">ALPINE</t>
  </si>
  <si>
    <t xml:space="preserve">VINE</t>
  </si>
  <si>
    <t xml:space="preserve">PUFFER</t>
  </si>
  <si>
    <t xml:space="preserve">OL</t>
  </si>
  <si>
    <t xml:space="preserve">GRT</t>
  </si>
  <si>
    <t xml:space="preserve">OGN</t>
  </si>
  <si>
    <t xml:space="preserve">CLANKER</t>
  </si>
  <si>
    <t xml:space="preserve">LIGHT</t>
  </si>
  <si>
    <t xml:space="preserve">MET</t>
  </si>
  <si>
    <t xml:space="preserve">PHB</t>
  </si>
  <si>
    <t xml:space="preserve">MNT</t>
  </si>
  <si>
    <t xml:space="preserve">HOOK</t>
  </si>
  <si>
    <t xml:space="preserve">HFT</t>
  </si>
  <si>
    <t xml:space="preserve">LISTA</t>
  </si>
  <si>
    <t xml:space="preserve">MAV</t>
  </si>
  <si>
    <t xml:space="preserve">SOON</t>
  </si>
  <si>
    <t xml:space="preserve">INX</t>
  </si>
  <si>
    <t xml:space="preserve">BB</t>
  </si>
  <si>
    <t xml:space="preserve">ENJ</t>
  </si>
  <si>
    <t xml:space="preserve">MBOX</t>
  </si>
  <si>
    <t xml:space="preserve">SPELL</t>
  </si>
  <si>
    <t xml:space="preserve">CHR</t>
  </si>
  <si>
    <t xml:space="preserve">SLP</t>
  </si>
  <si>
    <t xml:space="preserve">CROSS</t>
  </si>
  <si>
    <t xml:space="preserve">BTR</t>
  </si>
  <si>
    <t xml:space="preserve">VANRY</t>
  </si>
  <si>
    <t xml:space="preserve">AGT</t>
  </si>
  <si>
    <t xml:space="preserve">RDNT</t>
  </si>
  <si>
    <t xml:space="preserve">ORDER</t>
  </si>
  <si>
    <t xml:space="preserve">BLESS</t>
  </si>
  <si>
    <t xml:space="preserve">BR</t>
  </si>
  <si>
    <t xml:space="preserve">A2Z</t>
  </si>
  <si>
    <t xml:space="preserve">NTRN</t>
  </si>
  <si>
    <t xml:space="preserve">LRC</t>
  </si>
  <si>
    <t xml:space="preserve">ANKR</t>
  </si>
  <si>
    <t xml:space="preserve">CETUS</t>
  </si>
  <si>
    <t xml:space="preserve">MAGMA</t>
  </si>
  <si>
    <t xml:space="preserve">DUSK</t>
  </si>
  <si>
    <t xml:space="preserve">ON</t>
  </si>
  <si>
    <t xml:space="preserve">VIRTUAL</t>
  </si>
  <si>
    <t xml:space="preserve">COTI</t>
  </si>
  <si>
    <t xml:space="preserve">Bot</t>
  </si>
  <si>
    <t xml:space="preserve">KAITO</t>
  </si>
  <si>
    <t xml:space="preserve">ONG</t>
  </si>
  <si>
    <t xml:space="preserve">ONT</t>
  </si>
  <si>
    <t xml:space="preserve">SAPIEN</t>
  </si>
  <si>
    <t xml:space="preserve">VELODROME</t>
  </si>
  <si>
    <t xml:space="preserve">POWR</t>
  </si>
  <si>
    <t xml:space="preserve">SYS</t>
  </si>
  <si>
    <t xml:space="preserve">MANTRA</t>
  </si>
  <si>
    <t xml:space="preserve">BLUAI</t>
  </si>
  <si>
    <t xml:space="preserve">PIXEL</t>
  </si>
  <si>
    <t xml:space="preserve">XLM</t>
  </si>
  <si>
    <t xml:space="preserve">Liquidada</t>
  </si>
  <si>
    <t xml:space="preserve">BOB</t>
  </si>
  <si>
    <t xml:space="preserve">B3</t>
  </si>
  <si>
    <t xml:space="preserve">PARTI</t>
  </si>
  <si>
    <t xml:space="preserve">NOM</t>
  </si>
  <si>
    <t xml:space="preserve">DIA</t>
  </si>
  <si>
    <t xml:space="preserve">THE</t>
  </si>
  <si>
    <t xml:space="preserve">TRUTH</t>
  </si>
  <si>
    <t xml:space="preserve">TAIKO</t>
  </si>
  <si>
    <t xml:space="preserve">BANK</t>
  </si>
  <si>
    <t xml:space="preserve">GOAT</t>
  </si>
  <si>
    <t xml:space="preserve">XVS</t>
  </si>
  <si>
    <t xml:space="preserve">DOLO</t>
  </si>
  <si>
    <t xml:space="preserve">MOVR</t>
  </si>
  <si>
    <t xml:space="preserve">NMR</t>
  </si>
  <si>
    <t xml:space="preserve">PROMPT</t>
  </si>
  <si>
    <t xml:space="preserve">Long</t>
  </si>
  <si>
    <t xml:space="preserve">XPL</t>
  </si>
  <si>
    <t xml:space="preserve">POWER</t>
  </si>
  <si>
    <t xml:space="preserve">AEVO</t>
  </si>
  <si>
    <t xml:space="preserve">ALT</t>
  </si>
  <si>
    <t xml:space="preserve">ESPORTS</t>
  </si>
  <si>
    <t xml:space="preserve">RLS</t>
  </si>
  <si>
    <t xml:space="preserve">YB</t>
  </si>
  <si>
    <t xml:space="preserve">SUPER</t>
  </si>
  <si>
    <t xml:space="preserve">IRYS</t>
  </si>
  <si>
    <t xml:space="preserve">BEL</t>
  </si>
  <si>
    <t xml:space="preserve">OPEN</t>
  </si>
  <si>
    <t xml:space="preserve">EDU</t>
  </si>
  <si>
    <t xml:space="preserve">FRAX</t>
  </si>
  <si>
    <t xml:space="preserve">SHELL</t>
  </si>
  <si>
    <t xml:space="preserve">XNY</t>
  </si>
  <si>
    <t xml:space="preserve">FUN</t>
  </si>
  <si>
    <t xml:space="preserve">COMP</t>
  </si>
  <si>
    <t xml:space="preserve">RAVE</t>
  </si>
  <si>
    <t xml:space="preserve">ILV</t>
  </si>
  <si>
    <t xml:space="preserve">HMSTR</t>
  </si>
  <si>
    <t xml:space="preserve">LPT</t>
  </si>
  <si>
    <t xml:space="preserve">TNSR</t>
  </si>
  <si>
    <t xml:space="preserve">FF</t>
  </si>
  <si>
    <t xml:space="preserve">CATI</t>
  </si>
  <si>
    <t xml:space="preserve">CKB</t>
  </si>
  <si>
    <t xml:space="preserve">TAKE</t>
  </si>
  <si>
    <t xml:space="preserve">TRADOOR</t>
  </si>
  <si>
    <t xml:space="preserve">MANTA</t>
  </si>
  <si>
    <t xml:space="preserve">SPK</t>
  </si>
  <si>
    <t xml:space="preserve">BANANAS31</t>
  </si>
  <si>
    <t xml:space="preserve">STG</t>
  </si>
  <si>
    <t xml:space="preserve">IR</t>
  </si>
  <si>
    <t xml:space="preserve">ZEROG</t>
  </si>
  <si>
    <t xml:space="preserve">TST</t>
  </si>
  <si>
    <t xml:space="preserve">HOLO</t>
  </si>
  <si>
    <t xml:space="preserve">HEMI</t>
  </si>
  <si>
    <t xml:space="preserve">FIGHT</t>
  </si>
  <si>
    <t xml:space="preserve">TRUST</t>
  </si>
  <si>
    <t xml:space="preserve">SCR</t>
  </si>
  <si>
    <t xml:space="preserve">STRK</t>
  </si>
  <si>
    <t xml:space="preserve">RUNE</t>
  </si>
  <si>
    <t xml:space="preserve">BIGTIME</t>
  </si>
  <si>
    <t xml:space="preserve">GMT</t>
  </si>
  <si>
    <t xml:space="preserve">ENSO</t>
  </si>
  <si>
    <t xml:space="preserve">GALA</t>
  </si>
  <si>
    <t xml:space="preserve">SENT</t>
  </si>
  <si>
    <t xml:space="preserve">LINEA</t>
  </si>
  <si>
    <t xml:space="preserve">INJ</t>
  </si>
  <si>
    <t xml:space="preserve">WCT</t>
  </si>
  <si>
    <t xml:space="preserve">MASK</t>
  </si>
  <si>
    <t xml:space="preserve">LDO</t>
  </si>
  <si>
    <t xml:space="preserve">WOO</t>
  </si>
  <si>
    <t xml:space="preserve">SWARMS</t>
  </si>
  <si>
    <t xml:space="preserve">SSV</t>
  </si>
  <si>
    <t xml:space="preserve">SFP</t>
  </si>
  <si>
    <t xml:space="preserve">TP tras 109 promedio(s)</t>
  </si>
  <si>
    <t xml:space="preserve">TURTLE</t>
  </si>
  <si>
    <t xml:space="preserve">RIF</t>
  </si>
  <si>
    <t xml:space="preserve">TP tras 40 promedio(s)</t>
  </si>
  <si>
    <t xml:space="preserve">TP tras 24 promedio(s)</t>
  </si>
  <si>
    <t xml:space="preserve">ATH</t>
  </si>
  <si>
    <t xml:space="preserve">CFG</t>
  </si>
  <si>
    <t xml:space="preserve">TWOZ</t>
  </si>
  <si>
    <t xml:space="preserve">S</t>
  </si>
  <si>
    <t xml:space="preserve">NEAR</t>
  </si>
  <si>
    <t xml:space="preserve">TP tras 41 promedio(s)</t>
  </si>
  <si>
    <t xml:space="preserve">ALCH</t>
  </si>
  <si>
    <t xml:space="preserve">NOT</t>
  </si>
  <si>
    <t xml:space="preserve">TP tras 199 promedio(s)</t>
  </si>
  <si>
    <t xml:space="preserve">SAGA</t>
  </si>
  <si>
    <t xml:space="preserve">REZ</t>
  </si>
  <si>
    <t xml:space="preserve">RECALL</t>
  </si>
  <si>
    <t xml:space="preserve">COOKIE</t>
  </si>
  <si>
    <t xml:space="preserve">PROVE</t>
  </si>
  <si>
    <t xml:space="preserve">NIL</t>
  </si>
  <si>
    <t xml:space="preserve">TON</t>
  </si>
  <si>
    <t xml:space="preserve">TP tras 1140 promedio(s)</t>
  </si>
  <si>
    <t xml:space="preserve">KAIA</t>
  </si>
  <si>
    <t xml:space="preserve">ONDO</t>
  </si>
  <si>
    <t xml:space="preserve">WLD</t>
  </si>
  <si>
    <t xml:space="preserve">TP tras 4 promedio(s)</t>
  </si>
  <si>
    <t xml:space="preserve">LIGHTER</t>
  </si>
  <si>
    <t xml:space="preserve">ALLO</t>
  </si>
  <si>
    <t xml:space="preserve">ZORA</t>
  </si>
  <si>
    <t xml:space="preserve">AR</t>
  </si>
  <si>
    <t xml:space="preserve">OPN</t>
  </si>
  <si>
    <t xml:space="preserve">BEAT</t>
  </si>
  <si>
    <t xml:space="preserve">COAI</t>
  </si>
  <si>
    <t xml:space="preserve">TRUMP</t>
  </si>
  <si>
    <t xml:space="preserve">AERO</t>
  </si>
  <si>
    <t xml:space="preserve">SPX</t>
  </si>
  <si>
    <t xml:space="preserve">ACT</t>
  </si>
  <si>
    <t xml:space="preserve">TLM</t>
  </si>
  <si>
    <t xml:space="preserve">Fecha</t>
  </si>
  <si>
    <t xml:space="preserve">Nº Operaciones</t>
  </si>
  <si>
    <t xml:space="preserve">PnL Neto Día ($)</t>
  </si>
  <si>
    <t xml:space="preserve">Rentabilidad Media Día</t>
  </si>
  <si>
    <t xml:space="preserve">Balance Acumulado ($)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</si>
</sst>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#,##0.00;\(#,##0.00\)"/>
    <numFmt numFmtId="167" formatCode="General"/>
    <numFmt numFmtId="168" formatCode="0.0%"/>
    <numFmt numFmtId="169" formatCode="dd/mm/yyyy\ hh:mm"/>
    <numFmt numFmtId="170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5A36"/>
      <name val="Arial"/>
      <family val="0"/>
      <charset val="1"/>
    </font>
    <font>
      <b val="true"/>
      <sz val="10"/>
      <color rgb="FF9B93AD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0A14"/>
        <bgColor rgb="FF1A1425"/>
      </patternFill>
    </fill>
    <fill>
      <patternFill patternType="solid">
        <fgColor rgb="FF1A1425"/>
        <bgColor rgb="FF0D0A1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36"/>
      <rgbColor rgb="FF666699"/>
      <rgbColor rgb="FF9B93AD"/>
      <rgbColor rgb="FF003366"/>
      <rgbColor rgb="FF339966"/>
      <rgbColor rgb="FF0D0A14"/>
      <rgbColor rgb="FF333300"/>
      <rgbColor rgb="FF993300"/>
      <rgbColor rgb="FF993366"/>
      <rgbColor rgb="FF333399"/>
      <rgbColor rgb="FF1A14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3"/>
    <col collapsed="false" customWidth="true" hidden="false" outlineLevel="0" max="4" min="4" style="0" width="32"/>
    <col collapsed="false" customWidth="true" hidden="false" outlineLevel="0" max="5" min="5" style="0" width="3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3" t="s">
        <v>1</v>
      </c>
      <c r="C4" s="1"/>
      <c r="D4" s="3" t="s">
        <v>2</v>
      </c>
      <c r="E4" s="1"/>
      <c r="F4" s="3" t="s">
        <v>3</v>
      </c>
      <c r="G4" s="1"/>
      <c r="H4" s="1"/>
    </row>
    <row r="5" customFormat="false" ht="22.05" hidden="false" customHeight="false" outlineLevel="0" collapsed="false">
      <c r="A5" s="1"/>
      <c r="B5" s="4" t="n">
        <f aca="false">AVERAGE(Operaciones!K2:K446)</f>
        <v>0.020261988264153</v>
      </c>
      <c r="C5" s="1"/>
      <c r="D5" s="5" t="n">
        <f aca="false">SUM(Operaciones!J2:J446)</f>
        <v>3482.58</v>
      </c>
      <c r="E5" s="1"/>
      <c r="F5" s="5" t="n">
        <f aca="false">AVERAGE('Resumen Diario'!C2:C117)</f>
        <v>30.0222413793104</v>
      </c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6" t="s">
        <v>4</v>
      </c>
      <c r="C7" s="1"/>
      <c r="D7" s="6" t="s">
        <v>5</v>
      </c>
      <c r="E7" s="1"/>
      <c r="F7" s="6" t="s">
        <v>6</v>
      </c>
      <c r="G7" s="1"/>
      <c r="H7" s="1"/>
    </row>
    <row r="8" customFormat="false" ht="17.35" hidden="false" customHeight="false" outlineLevel="0" collapsed="false">
      <c r="A8" s="1"/>
      <c r="B8" s="7" t="n">
        <f aca="false">COUNTA(Operaciones!B2:B446)</f>
        <v>445</v>
      </c>
      <c r="C8" s="1"/>
      <c r="D8" s="7" t="n">
        <f aca="false">COUNTA('Resumen Diario'!A2:A117)</f>
        <v>116</v>
      </c>
      <c r="E8" s="1"/>
      <c r="F8" s="8" t="n">
        <f aca="false">COUNTIF(Operaciones!J2:J446,"&gt;0")/COUNTA(Operaciones!B2:B446)</f>
        <v>0.77752808988764</v>
      </c>
      <c r="G8" s="1"/>
      <c r="H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customFormat="false" ht="15" hidden="false" customHeight="false" outlineLevel="0" collapsed="false">
      <c r="A2" s="10" t="n">
        <v>46074.6957523148</v>
      </c>
      <c r="B2" s="11" t="s">
        <v>19</v>
      </c>
      <c r="C2" s="11" t="s">
        <v>20</v>
      </c>
      <c r="D2" s="11" t="s">
        <v>21</v>
      </c>
      <c r="E2" s="0" t="n">
        <v>0</v>
      </c>
      <c r="F2" s="12" t="n">
        <v>999.98</v>
      </c>
      <c r="G2" s="12" t="n">
        <v>100.91</v>
      </c>
      <c r="H2" s="12" t="n">
        <v>-0.95</v>
      </c>
      <c r="I2" s="12" t="n">
        <v>-13.31</v>
      </c>
      <c r="J2" s="12" t="n">
        <f aca="false">G2+H2+I2</f>
        <v>86.65</v>
      </c>
      <c r="K2" s="13" t="n">
        <f aca="false">IF(F2&gt;0,J2/F2,"")</f>
        <v>0.0866517330346607</v>
      </c>
      <c r="L2" s="11" t="s">
        <v>22</v>
      </c>
    </row>
    <row r="3" customFormat="false" ht="15" hidden="false" customHeight="false" outlineLevel="0" collapsed="false">
      <c r="A3" s="10" t="n">
        <v>46075.2934027778</v>
      </c>
      <c r="B3" s="11" t="s">
        <v>23</v>
      </c>
      <c r="C3" s="11" t="s">
        <v>20</v>
      </c>
      <c r="D3" s="11" t="s">
        <v>21</v>
      </c>
      <c r="E3" s="0" t="n">
        <v>0</v>
      </c>
      <c r="F3" s="12" t="n">
        <v>1094.5</v>
      </c>
      <c r="G3" s="12" t="n">
        <v>104.56</v>
      </c>
      <c r="H3" s="12" t="n">
        <v>-1.04</v>
      </c>
      <c r="I3" s="12" t="n">
        <v>-11.57</v>
      </c>
      <c r="J3" s="12" t="n">
        <f aca="false">G3+H3+I3</f>
        <v>91.95</v>
      </c>
      <c r="K3" s="13" t="n">
        <f aca="false">IF(F3&gt;0,J3/F3,"")</f>
        <v>0.0840109639104614</v>
      </c>
      <c r="L3" s="11" t="s">
        <v>22</v>
      </c>
    </row>
    <row r="4" customFormat="false" ht="15" hidden="false" customHeight="false" outlineLevel="0" collapsed="false">
      <c r="A4" s="10" t="n">
        <v>46076.6427777778</v>
      </c>
      <c r="B4" s="11" t="s">
        <v>24</v>
      </c>
      <c r="C4" s="11" t="s">
        <v>20</v>
      </c>
      <c r="D4" s="11" t="s">
        <v>21</v>
      </c>
      <c r="E4" s="0" t="n">
        <v>0</v>
      </c>
      <c r="F4" s="12" t="n">
        <v>781.09</v>
      </c>
      <c r="G4" s="12" t="n">
        <v>68.56</v>
      </c>
      <c r="H4" s="12" t="n">
        <v>-0.75</v>
      </c>
      <c r="I4" s="12" t="n">
        <v>-129.01</v>
      </c>
      <c r="J4" s="12" t="n">
        <f aca="false">G4+H4+I4</f>
        <v>-61.2</v>
      </c>
      <c r="K4" s="13" t="n">
        <f aca="false">IF(F4&gt;0,J4/F4,"")</f>
        <v>-0.078352046499123</v>
      </c>
      <c r="L4" s="11" t="s">
        <v>25</v>
      </c>
    </row>
    <row r="5" customFormat="false" ht="15" hidden="false" customHeight="false" outlineLevel="0" collapsed="false">
      <c r="A5" s="10" t="n">
        <v>46076.6428356482</v>
      </c>
      <c r="B5" s="11" t="s">
        <v>26</v>
      </c>
      <c r="C5" s="11" t="s">
        <v>20</v>
      </c>
      <c r="D5" s="11" t="s">
        <v>21</v>
      </c>
      <c r="E5" s="0" t="n">
        <v>0</v>
      </c>
      <c r="F5" s="12" t="n">
        <v>1020.87</v>
      </c>
      <c r="G5" s="12" t="n">
        <v>49.93</v>
      </c>
      <c r="H5" s="12" t="n">
        <v>-1</v>
      </c>
      <c r="I5" s="12" t="n">
        <v>-16.65</v>
      </c>
      <c r="J5" s="12" t="n">
        <f aca="false">G5+H5+I5</f>
        <v>32.28</v>
      </c>
      <c r="K5" s="13" t="n">
        <f aca="false">IF(F5&gt;0,J5/F5,"")</f>
        <v>0.0316200887478327</v>
      </c>
      <c r="L5" s="11" t="s">
        <v>22</v>
      </c>
    </row>
    <row r="6" customFormat="false" ht="15" hidden="false" customHeight="false" outlineLevel="0" collapsed="false">
      <c r="A6" s="10" t="n">
        <v>46077.0541435185</v>
      </c>
      <c r="B6" s="11" t="s">
        <v>27</v>
      </c>
      <c r="C6" s="11" t="s">
        <v>20</v>
      </c>
      <c r="D6" s="11" t="s">
        <v>21</v>
      </c>
      <c r="E6" s="0" t="n">
        <v>0</v>
      </c>
      <c r="F6" s="12" t="n">
        <v>999.96</v>
      </c>
      <c r="G6" s="12" t="n">
        <v>101.33</v>
      </c>
      <c r="H6" s="12" t="n">
        <v>-0.74</v>
      </c>
      <c r="I6" s="12" t="n">
        <v>-5.4</v>
      </c>
      <c r="J6" s="12" t="n">
        <f aca="false">G6+H6+I6</f>
        <v>95.19</v>
      </c>
      <c r="K6" s="13" t="n">
        <f aca="false">IF(F6&gt;0,J6/F6,"")</f>
        <v>0.0951938077523101</v>
      </c>
      <c r="L6" s="11" t="s">
        <v>22</v>
      </c>
    </row>
    <row r="7" customFormat="false" ht="15" hidden="false" customHeight="false" outlineLevel="0" collapsed="false">
      <c r="A7" s="10" t="n">
        <v>46079.3184606481</v>
      </c>
      <c r="B7" s="11" t="s">
        <v>28</v>
      </c>
      <c r="C7" s="11" t="s">
        <v>20</v>
      </c>
      <c r="D7" s="11" t="s">
        <v>21</v>
      </c>
      <c r="E7" s="0" t="n">
        <v>1</v>
      </c>
      <c r="F7" s="12" t="n">
        <v>1484.89</v>
      </c>
      <c r="G7" s="12" t="n">
        <v>30.81</v>
      </c>
      <c r="H7" s="12" t="n">
        <v>-1.47</v>
      </c>
      <c r="I7" s="12" t="n">
        <v>10.69</v>
      </c>
      <c r="J7" s="12" t="n">
        <f aca="false">G7+H7+I7</f>
        <v>40.03</v>
      </c>
      <c r="K7" s="13" t="n">
        <f aca="false">IF(F7&gt;0,J7/F7,"")</f>
        <v>0.0269582258618484</v>
      </c>
      <c r="L7" s="11" t="s">
        <v>29</v>
      </c>
    </row>
    <row r="8" customFormat="false" ht="15" hidden="false" customHeight="false" outlineLevel="0" collapsed="false">
      <c r="A8" s="10" t="n">
        <v>46079.673912037</v>
      </c>
      <c r="B8" s="11" t="s">
        <v>30</v>
      </c>
      <c r="C8" s="11" t="s">
        <v>20</v>
      </c>
      <c r="D8" s="11" t="s">
        <v>21</v>
      </c>
      <c r="E8" s="0" t="n">
        <v>0</v>
      </c>
      <c r="F8" s="12" t="n">
        <v>249.5</v>
      </c>
      <c r="G8" s="12" t="n">
        <v>1.07</v>
      </c>
      <c r="H8" s="12" t="n">
        <v>-0.25</v>
      </c>
      <c r="I8" s="12" t="n">
        <v>0.04</v>
      </c>
      <c r="J8" s="12" t="n">
        <f aca="false">G8+H8+I8</f>
        <v>0.86</v>
      </c>
      <c r="K8" s="13" t="n">
        <f aca="false">IF(F8&gt;0,J8/F8,"")</f>
        <v>0.00344689378757515</v>
      </c>
      <c r="L8" s="11" t="s">
        <v>22</v>
      </c>
    </row>
    <row r="9" customFormat="false" ht="15" hidden="false" customHeight="false" outlineLevel="0" collapsed="false">
      <c r="A9" s="10" t="n">
        <v>46079.752025463</v>
      </c>
      <c r="B9" s="11" t="s">
        <v>31</v>
      </c>
      <c r="C9" s="11" t="s">
        <v>20</v>
      </c>
      <c r="D9" s="11" t="s">
        <v>21</v>
      </c>
      <c r="E9" s="0" t="n">
        <v>0</v>
      </c>
      <c r="F9" s="12" t="n">
        <v>1999.97</v>
      </c>
      <c r="G9" s="12" t="n">
        <v>144.14</v>
      </c>
      <c r="H9" s="12" t="n">
        <v>-1.93</v>
      </c>
      <c r="I9" s="12" t="n">
        <v>0.09</v>
      </c>
      <c r="J9" s="12" t="n">
        <f aca="false">G9+H9+I9</f>
        <v>142.3</v>
      </c>
      <c r="K9" s="13" t="n">
        <f aca="false">IF(F9&gt;0,J9/F9,"")</f>
        <v>0.071151067266009</v>
      </c>
      <c r="L9" s="11" t="s">
        <v>22</v>
      </c>
    </row>
    <row r="10" customFormat="false" ht="15" hidden="false" customHeight="false" outlineLevel="0" collapsed="false">
      <c r="A10" s="10" t="n">
        <v>46079.7521527778</v>
      </c>
      <c r="B10" s="11" t="s">
        <v>32</v>
      </c>
      <c r="C10" s="11" t="s">
        <v>20</v>
      </c>
      <c r="D10" s="11" t="s">
        <v>21</v>
      </c>
      <c r="E10" s="0" t="n">
        <v>0</v>
      </c>
      <c r="F10" s="12" t="n">
        <v>999.97</v>
      </c>
      <c r="G10" s="12" t="n">
        <v>85.24</v>
      </c>
      <c r="H10" s="12" t="n">
        <v>-0.96</v>
      </c>
      <c r="I10" s="12" t="n">
        <v>-18.42</v>
      </c>
      <c r="J10" s="12" t="n">
        <f aca="false">G10+H10+I10</f>
        <v>65.86</v>
      </c>
      <c r="K10" s="13" t="n">
        <f aca="false">IF(F10&gt;0,J10/F10,"")</f>
        <v>0.0658619758592758</v>
      </c>
      <c r="L10" s="11" t="s">
        <v>22</v>
      </c>
    </row>
    <row r="11" customFormat="false" ht="15" hidden="false" customHeight="false" outlineLevel="0" collapsed="false">
      <c r="A11" s="10" t="n">
        <v>46080.2977083333</v>
      </c>
      <c r="B11" s="11" t="s">
        <v>33</v>
      </c>
      <c r="C11" s="11" t="s">
        <v>20</v>
      </c>
      <c r="D11" s="11" t="s">
        <v>21</v>
      </c>
      <c r="E11" s="0" t="n">
        <v>0</v>
      </c>
      <c r="F11" s="12" t="n">
        <v>999.91</v>
      </c>
      <c r="G11" s="12" t="n">
        <v>3.05</v>
      </c>
      <c r="H11" s="12" t="n">
        <v>-1</v>
      </c>
      <c r="I11" s="12" t="n">
        <v>0</v>
      </c>
      <c r="J11" s="12" t="n">
        <f aca="false">G11+H11+I11</f>
        <v>2.05</v>
      </c>
      <c r="K11" s="13" t="n">
        <f aca="false">IF(F11&gt;0,J11/F11,"")</f>
        <v>0.00205018451660649</v>
      </c>
      <c r="L11" s="11" t="s">
        <v>22</v>
      </c>
    </row>
    <row r="12" customFormat="false" ht="15" hidden="false" customHeight="false" outlineLevel="0" collapsed="false">
      <c r="A12" s="10" t="n">
        <v>46080.3068865741</v>
      </c>
      <c r="B12" s="11" t="s">
        <v>34</v>
      </c>
      <c r="C12" s="11" t="s">
        <v>20</v>
      </c>
      <c r="D12" s="11" t="s">
        <v>21</v>
      </c>
      <c r="E12" s="0" t="n">
        <v>0</v>
      </c>
      <c r="F12" s="12" t="n">
        <v>2500</v>
      </c>
      <c r="G12" s="12" t="n">
        <v>154.07</v>
      </c>
      <c r="H12" s="12" t="n">
        <v>-2.42</v>
      </c>
      <c r="I12" s="12" t="n">
        <v>0</v>
      </c>
      <c r="J12" s="12" t="n">
        <f aca="false">G12+H12+I12</f>
        <v>151.65</v>
      </c>
      <c r="K12" s="13" t="n">
        <f aca="false">IF(F12&gt;0,J12/F12,"")</f>
        <v>0.06066</v>
      </c>
      <c r="L12" s="11" t="s">
        <v>22</v>
      </c>
    </row>
    <row r="13" customFormat="false" ht="15" hidden="false" customHeight="false" outlineLevel="0" collapsed="false">
      <c r="A13" s="10" t="n">
        <v>46080.407962963</v>
      </c>
      <c r="B13" s="11" t="s">
        <v>35</v>
      </c>
      <c r="C13" s="11" t="s">
        <v>20</v>
      </c>
      <c r="D13" s="11" t="s">
        <v>21</v>
      </c>
      <c r="E13" s="0" t="n">
        <v>0</v>
      </c>
      <c r="F13" s="12" t="n">
        <v>1499.94</v>
      </c>
      <c r="G13" s="12" t="n">
        <v>80.7</v>
      </c>
      <c r="H13" s="12" t="n">
        <v>-1.46</v>
      </c>
      <c r="I13" s="12" t="n">
        <v>0</v>
      </c>
      <c r="J13" s="12" t="n">
        <f aca="false">G13+H13+I13</f>
        <v>79.24</v>
      </c>
      <c r="K13" s="13" t="n">
        <f aca="false">IF(F13&gt;0,J13/F13,"")</f>
        <v>0.0528287798178594</v>
      </c>
      <c r="L13" s="11" t="s">
        <v>22</v>
      </c>
    </row>
    <row r="14" customFormat="false" ht="15" hidden="false" customHeight="false" outlineLevel="0" collapsed="false">
      <c r="A14" s="10" t="n">
        <v>46080.6699768519</v>
      </c>
      <c r="B14" s="11" t="s">
        <v>36</v>
      </c>
      <c r="C14" s="11" t="s">
        <v>20</v>
      </c>
      <c r="D14" s="11" t="s">
        <v>21</v>
      </c>
      <c r="E14" s="0" t="n">
        <v>0</v>
      </c>
      <c r="F14" s="12" t="n">
        <v>1000</v>
      </c>
      <c r="G14" s="12" t="n">
        <v>2.77</v>
      </c>
      <c r="H14" s="12" t="n">
        <v>-1</v>
      </c>
      <c r="I14" s="12" t="n">
        <v>-13.48</v>
      </c>
      <c r="J14" s="12" t="n">
        <f aca="false">G14+H14+I14</f>
        <v>-11.71</v>
      </c>
      <c r="K14" s="13" t="n">
        <f aca="false">IF(F14&gt;0,J14/F14,"")</f>
        <v>-0.01171</v>
      </c>
      <c r="L14" s="11" t="s">
        <v>25</v>
      </c>
    </row>
    <row r="15" customFormat="false" ht="15" hidden="false" customHeight="false" outlineLevel="0" collapsed="false">
      <c r="A15" s="10" t="n">
        <v>46080.7664236111</v>
      </c>
      <c r="B15" s="11" t="s">
        <v>37</v>
      </c>
      <c r="C15" s="11" t="s">
        <v>20</v>
      </c>
      <c r="D15" s="11" t="s">
        <v>21</v>
      </c>
      <c r="E15" s="0" t="n">
        <v>0</v>
      </c>
      <c r="F15" s="12" t="n">
        <v>1000</v>
      </c>
      <c r="G15" s="12" t="n">
        <v>52.04</v>
      </c>
      <c r="H15" s="12" t="n">
        <v>-0.97</v>
      </c>
      <c r="I15" s="12" t="n">
        <v>-1.33</v>
      </c>
      <c r="J15" s="12" t="n">
        <f aca="false">G15+H15+I15</f>
        <v>49.74</v>
      </c>
      <c r="K15" s="13" t="n">
        <f aca="false">IF(F15&gt;0,J15/F15,"")</f>
        <v>0.04974</v>
      </c>
      <c r="L15" s="11" t="s">
        <v>22</v>
      </c>
    </row>
    <row r="16" customFormat="false" ht="15" hidden="false" customHeight="false" outlineLevel="0" collapsed="false">
      <c r="A16" s="10" t="n">
        <v>46080.8541203704</v>
      </c>
      <c r="B16" s="11" t="s">
        <v>38</v>
      </c>
      <c r="C16" s="11" t="s">
        <v>20</v>
      </c>
      <c r="D16" s="11" t="s">
        <v>21</v>
      </c>
      <c r="E16" s="0" t="n">
        <v>0</v>
      </c>
      <c r="F16" s="12" t="n">
        <v>1000</v>
      </c>
      <c r="G16" s="12" t="n">
        <v>50.57</v>
      </c>
      <c r="H16" s="12" t="n">
        <v>-0.97</v>
      </c>
      <c r="I16" s="12" t="n">
        <v>0</v>
      </c>
      <c r="J16" s="12" t="n">
        <f aca="false">G16+H16+I16</f>
        <v>49.6</v>
      </c>
      <c r="K16" s="13" t="n">
        <f aca="false">IF(F16&gt;0,J16/F16,"")</f>
        <v>0.0496</v>
      </c>
      <c r="L16" s="11" t="s">
        <v>22</v>
      </c>
    </row>
    <row r="17" customFormat="false" ht="15" hidden="false" customHeight="false" outlineLevel="0" collapsed="false">
      <c r="A17" s="10" t="n">
        <v>46081.2827662037</v>
      </c>
      <c r="B17" s="11" t="s">
        <v>39</v>
      </c>
      <c r="C17" s="11" t="s">
        <v>20</v>
      </c>
      <c r="D17" s="11" t="s">
        <v>21</v>
      </c>
      <c r="E17" s="0" t="n">
        <v>0</v>
      </c>
      <c r="F17" s="12" t="n">
        <v>1000</v>
      </c>
      <c r="G17" s="12" t="n">
        <v>87.49</v>
      </c>
      <c r="H17" s="12" t="n">
        <v>-0.96</v>
      </c>
      <c r="I17" s="12" t="n">
        <v>-0.26</v>
      </c>
      <c r="J17" s="12" t="n">
        <f aca="false">G17+H17+I17</f>
        <v>86.27</v>
      </c>
      <c r="K17" s="13" t="n">
        <f aca="false">IF(F17&gt;0,J17/F17,"")</f>
        <v>0.08627</v>
      </c>
      <c r="L17" s="11" t="s">
        <v>22</v>
      </c>
    </row>
    <row r="18" customFormat="false" ht="15" hidden="false" customHeight="false" outlineLevel="0" collapsed="false">
      <c r="A18" s="10" t="n">
        <v>46081.3545601852</v>
      </c>
      <c r="B18" s="11" t="s">
        <v>40</v>
      </c>
      <c r="C18" s="11" t="s">
        <v>20</v>
      </c>
      <c r="D18" s="11" t="s">
        <v>21</v>
      </c>
      <c r="E18" s="0" t="n">
        <v>1</v>
      </c>
      <c r="F18" s="12" t="n">
        <v>2999.97</v>
      </c>
      <c r="G18" s="12" t="n">
        <v>130.96</v>
      </c>
      <c r="H18" s="12" t="n">
        <v>-2.93</v>
      </c>
      <c r="I18" s="12" t="n">
        <v>-242.1</v>
      </c>
      <c r="J18" s="12" t="n">
        <f aca="false">G18+H18+I18</f>
        <v>-114.07</v>
      </c>
      <c r="K18" s="13" t="n">
        <f aca="false">IF(F18&gt;0,J18/F18,"")</f>
        <v>-0.038023713570469</v>
      </c>
      <c r="L18" s="11" t="s">
        <v>25</v>
      </c>
    </row>
    <row r="19" customFormat="false" ht="15" hidden="false" customHeight="false" outlineLevel="0" collapsed="false">
      <c r="A19" s="10" t="n">
        <v>46081.4013310185</v>
      </c>
      <c r="B19" s="11" t="s">
        <v>41</v>
      </c>
      <c r="C19" s="11" t="s">
        <v>20</v>
      </c>
      <c r="D19" s="11" t="s">
        <v>21</v>
      </c>
      <c r="E19" s="0" t="n">
        <v>0</v>
      </c>
      <c r="F19" s="12" t="n">
        <v>1999.99</v>
      </c>
      <c r="G19" s="12" t="n">
        <v>103.21</v>
      </c>
      <c r="H19" s="12" t="n">
        <v>-1.95</v>
      </c>
      <c r="I19" s="12" t="n">
        <v>0</v>
      </c>
      <c r="J19" s="12" t="n">
        <f aca="false">G19+H19+I19</f>
        <v>101.26</v>
      </c>
      <c r="K19" s="13" t="n">
        <f aca="false">IF(F19&gt;0,J19/F19,"")</f>
        <v>0.0506302531512658</v>
      </c>
      <c r="L19" s="11" t="s">
        <v>22</v>
      </c>
    </row>
    <row r="20" customFormat="false" ht="15" hidden="false" customHeight="false" outlineLevel="0" collapsed="false">
      <c r="A20" s="10" t="n">
        <v>46082.5586805556</v>
      </c>
      <c r="B20" s="11" t="s">
        <v>42</v>
      </c>
      <c r="C20" s="11" t="s">
        <v>20</v>
      </c>
      <c r="D20" s="11" t="s">
        <v>21</v>
      </c>
      <c r="E20" s="0" t="n">
        <v>0</v>
      </c>
      <c r="F20" s="12" t="n">
        <v>1999.74</v>
      </c>
      <c r="G20" s="12" t="n">
        <v>120.62</v>
      </c>
      <c r="H20" s="12" t="n">
        <v>-1.94</v>
      </c>
      <c r="I20" s="12" t="n">
        <v>-0.33</v>
      </c>
      <c r="J20" s="12" t="n">
        <f aca="false">G20+H20+I20</f>
        <v>118.35</v>
      </c>
      <c r="K20" s="13" t="n">
        <f aca="false">IF(F20&gt;0,J20/F20,"")</f>
        <v>0.0591826937501875</v>
      </c>
      <c r="L20" s="11" t="s">
        <v>22</v>
      </c>
    </row>
    <row r="21" customFormat="false" ht="15" hidden="false" customHeight="false" outlineLevel="0" collapsed="false">
      <c r="A21" s="10" t="n">
        <v>46082.9164814815</v>
      </c>
      <c r="B21" s="11" t="s">
        <v>43</v>
      </c>
      <c r="C21" s="11" t="s">
        <v>20</v>
      </c>
      <c r="D21" s="11" t="s">
        <v>21</v>
      </c>
      <c r="E21" s="0" t="n">
        <v>1</v>
      </c>
      <c r="F21" s="12" t="n">
        <v>2249.95</v>
      </c>
      <c r="G21" s="12" t="n">
        <v>130.02</v>
      </c>
      <c r="H21" s="12" t="n">
        <v>-2.18</v>
      </c>
      <c r="I21" s="12" t="n">
        <v>2.5</v>
      </c>
      <c r="J21" s="12" t="n">
        <f aca="false">G21+H21+I21</f>
        <v>130.34</v>
      </c>
      <c r="K21" s="13" t="n">
        <f aca="false">IF(F21&gt;0,J21/F21,"")</f>
        <v>0.0579301762261384</v>
      </c>
      <c r="L21" s="11" t="s">
        <v>29</v>
      </c>
    </row>
    <row r="22" customFormat="false" ht="15" hidden="false" customHeight="false" outlineLevel="0" collapsed="false">
      <c r="A22" s="10" t="n">
        <v>46082.9792361111</v>
      </c>
      <c r="B22" s="11" t="s">
        <v>44</v>
      </c>
      <c r="C22" s="11" t="s">
        <v>20</v>
      </c>
      <c r="D22" s="11" t="s">
        <v>21</v>
      </c>
      <c r="E22" s="0" t="n">
        <v>0</v>
      </c>
      <c r="F22" s="12" t="n">
        <v>2000</v>
      </c>
      <c r="G22" s="12" t="n">
        <v>123.76</v>
      </c>
      <c r="H22" s="12" t="n">
        <v>-1.94</v>
      </c>
      <c r="I22" s="12" t="n">
        <v>0.21</v>
      </c>
      <c r="J22" s="12" t="n">
        <f aca="false">G22+H22+I22</f>
        <v>122.03</v>
      </c>
      <c r="K22" s="13" t="n">
        <f aca="false">IF(F22&gt;0,J22/F22,"")</f>
        <v>0.061015</v>
      </c>
      <c r="L22" s="11" t="s">
        <v>22</v>
      </c>
    </row>
    <row r="23" customFormat="false" ht="15" hidden="false" customHeight="false" outlineLevel="0" collapsed="false">
      <c r="A23" s="10" t="n">
        <v>46083.3670717593</v>
      </c>
      <c r="B23" s="11" t="s">
        <v>45</v>
      </c>
      <c r="C23" s="11" t="s">
        <v>20</v>
      </c>
      <c r="D23" s="11" t="s">
        <v>21</v>
      </c>
      <c r="E23" s="0" t="n">
        <v>0</v>
      </c>
      <c r="F23" s="12" t="n">
        <v>2000</v>
      </c>
      <c r="G23" s="12" t="n">
        <v>119.95</v>
      </c>
      <c r="H23" s="12" t="n">
        <v>-1.94</v>
      </c>
      <c r="I23" s="12" t="n">
        <v>-34.08</v>
      </c>
      <c r="J23" s="12" t="n">
        <f aca="false">G23+H23+I23</f>
        <v>83.93</v>
      </c>
      <c r="K23" s="13" t="n">
        <f aca="false">IF(F23&gt;0,J23/F23,"")</f>
        <v>0.041965</v>
      </c>
      <c r="L23" s="11" t="s">
        <v>22</v>
      </c>
    </row>
    <row r="24" customFormat="false" ht="15" hidden="false" customHeight="false" outlineLevel="0" collapsed="false">
      <c r="A24" s="10" t="n">
        <v>46083.3911458333</v>
      </c>
      <c r="B24" s="11" t="s">
        <v>46</v>
      </c>
      <c r="C24" s="11" t="s">
        <v>20</v>
      </c>
      <c r="D24" s="11" t="s">
        <v>21</v>
      </c>
      <c r="E24" s="0" t="n">
        <v>0</v>
      </c>
      <c r="F24" s="12" t="n">
        <v>1999.98</v>
      </c>
      <c r="G24" s="12" t="n">
        <v>102.98</v>
      </c>
      <c r="H24" s="12" t="n">
        <v>-1.95</v>
      </c>
      <c r="I24" s="12" t="n">
        <v>0</v>
      </c>
      <c r="J24" s="12" t="n">
        <f aca="false">G24+H24+I24</f>
        <v>101.03</v>
      </c>
      <c r="K24" s="13" t="n">
        <f aca="false">IF(F24&gt;0,J24/F24,"")</f>
        <v>0.0505155051550516</v>
      </c>
      <c r="L24" s="11" t="s">
        <v>22</v>
      </c>
    </row>
    <row r="25" customFormat="false" ht="15" hidden="false" customHeight="false" outlineLevel="0" collapsed="false">
      <c r="A25" s="10" t="n">
        <v>46083.46125</v>
      </c>
      <c r="B25" s="11" t="s">
        <v>46</v>
      </c>
      <c r="C25" s="11" t="s">
        <v>20</v>
      </c>
      <c r="D25" s="11" t="s">
        <v>21</v>
      </c>
      <c r="E25" s="0" t="n">
        <v>0</v>
      </c>
      <c r="F25" s="12" t="n">
        <v>1999.99</v>
      </c>
      <c r="G25" s="12" t="n">
        <v>85.03</v>
      </c>
      <c r="H25" s="12" t="n">
        <v>-1.96</v>
      </c>
      <c r="I25" s="12" t="n">
        <v>0</v>
      </c>
      <c r="J25" s="12" t="n">
        <f aca="false">G25+H25+I25</f>
        <v>83.07</v>
      </c>
      <c r="K25" s="13" t="n">
        <f aca="false">IF(F25&gt;0,J25/F25,"")</f>
        <v>0.0415352076760384</v>
      </c>
      <c r="L25" s="11" t="s">
        <v>22</v>
      </c>
    </row>
    <row r="26" customFormat="false" ht="15" hidden="false" customHeight="false" outlineLevel="0" collapsed="false">
      <c r="A26" s="10" t="n">
        <v>46083.5099421296</v>
      </c>
      <c r="B26" s="11" t="s">
        <v>47</v>
      </c>
      <c r="C26" s="11" t="s">
        <v>20</v>
      </c>
      <c r="D26" s="11" t="s">
        <v>21</v>
      </c>
      <c r="E26" s="0" t="n">
        <v>0</v>
      </c>
      <c r="F26" s="12" t="n">
        <v>1999.96</v>
      </c>
      <c r="G26" s="12" t="n">
        <v>96.03</v>
      </c>
      <c r="H26" s="12" t="n">
        <v>-1.95</v>
      </c>
      <c r="I26" s="12" t="n">
        <v>-11.03</v>
      </c>
      <c r="J26" s="12" t="n">
        <f aca="false">G26+H26+I26</f>
        <v>83.05</v>
      </c>
      <c r="K26" s="13" t="n">
        <f aca="false">IF(F26&gt;0,J26/F26,"")</f>
        <v>0.0415258305166103</v>
      </c>
      <c r="L26" s="11" t="s">
        <v>22</v>
      </c>
    </row>
    <row r="27" customFormat="false" ht="15" hidden="false" customHeight="false" outlineLevel="0" collapsed="false">
      <c r="A27" s="10" t="n">
        <v>46083.576875</v>
      </c>
      <c r="B27" s="11" t="s">
        <v>46</v>
      </c>
      <c r="C27" s="11" t="s">
        <v>20</v>
      </c>
      <c r="D27" s="11" t="s">
        <v>21</v>
      </c>
      <c r="E27" s="0" t="n">
        <v>0</v>
      </c>
      <c r="F27" s="12" t="n">
        <v>2000</v>
      </c>
      <c r="G27" s="12" t="n">
        <v>69.3</v>
      </c>
      <c r="H27" s="12" t="n">
        <v>-1.97</v>
      </c>
      <c r="I27" s="12" t="n">
        <v>0</v>
      </c>
      <c r="J27" s="12" t="n">
        <f aca="false">G27+H27+I27</f>
        <v>67.33</v>
      </c>
      <c r="K27" s="13" t="n">
        <f aca="false">IF(F27&gt;0,J27/F27,"")</f>
        <v>0.033665</v>
      </c>
      <c r="L27" s="11" t="s">
        <v>22</v>
      </c>
    </row>
    <row r="28" customFormat="false" ht="15" hidden="false" customHeight="false" outlineLevel="0" collapsed="false">
      <c r="A28" s="10" t="n">
        <v>46083.578900463</v>
      </c>
      <c r="B28" s="11" t="s">
        <v>48</v>
      </c>
      <c r="C28" s="11" t="s">
        <v>20</v>
      </c>
      <c r="D28" s="11" t="s">
        <v>21</v>
      </c>
      <c r="E28" s="0" t="n">
        <v>0</v>
      </c>
      <c r="F28" s="12" t="n">
        <v>1999.99</v>
      </c>
      <c r="G28" s="12" t="n">
        <v>51.19</v>
      </c>
      <c r="H28" s="12" t="n">
        <v>-1.97</v>
      </c>
      <c r="I28" s="12" t="n">
        <v>-25.21</v>
      </c>
      <c r="J28" s="12" t="n">
        <f aca="false">G28+H28+I28</f>
        <v>24.01</v>
      </c>
      <c r="K28" s="13" t="n">
        <f aca="false">IF(F28&gt;0,J28/F28,"")</f>
        <v>0.0120050600253001</v>
      </c>
      <c r="L28" s="11" t="s">
        <v>22</v>
      </c>
    </row>
    <row r="29" customFormat="false" ht="15" hidden="false" customHeight="false" outlineLevel="0" collapsed="false">
      <c r="A29" s="10" t="n">
        <v>46083.8125925926</v>
      </c>
      <c r="B29" s="11" t="s">
        <v>49</v>
      </c>
      <c r="C29" s="11" t="s">
        <v>20</v>
      </c>
      <c r="D29" s="11" t="s">
        <v>21</v>
      </c>
      <c r="E29" s="0" t="n">
        <v>0</v>
      </c>
      <c r="F29" s="12" t="n">
        <v>1333.5</v>
      </c>
      <c r="G29" s="12" t="n">
        <v>93.88</v>
      </c>
      <c r="H29" s="12" t="n">
        <v>-1.35</v>
      </c>
      <c r="I29" s="12" t="n">
        <v>0</v>
      </c>
      <c r="J29" s="12" t="n">
        <f aca="false">G29+H29+I29</f>
        <v>92.53</v>
      </c>
      <c r="K29" s="13" t="n">
        <f aca="false">IF(F29&gt;0,J29/F29,"")</f>
        <v>0.0693888263967004</v>
      </c>
      <c r="L29" s="11" t="s">
        <v>22</v>
      </c>
    </row>
    <row r="30" customFormat="false" ht="15" hidden="false" customHeight="false" outlineLevel="0" collapsed="false">
      <c r="A30" s="10" t="n">
        <v>46083.8580092593</v>
      </c>
      <c r="B30" s="11" t="s">
        <v>50</v>
      </c>
      <c r="C30" s="11" t="s">
        <v>20</v>
      </c>
      <c r="D30" s="11" t="s">
        <v>21</v>
      </c>
      <c r="E30" s="0" t="n">
        <v>0</v>
      </c>
      <c r="F30" s="12" t="n">
        <v>2999.99</v>
      </c>
      <c r="G30" s="12" t="n">
        <v>93.1</v>
      </c>
      <c r="H30" s="12" t="n">
        <v>-2.95</v>
      </c>
      <c r="I30" s="12" t="n">
        <v>-6.87</v>
      </c>
      <c r="J30" s="12" t="n">
        <f aca="false">G30+H30+I30</f>
        <v>83.28</v>
      </c>
      <c r="K30" s="13" t="n">
        <f aca="false">IF(F30&gt;0,J30/F30,"")</f>
        <v>0.0277600925336418</v>
      </c>
      <c r="L30" s="11" t="s">
        <v>22</v>
      </c>
    </row>
    <row r="31" customFormat="false" ht="15" hidden="false" customHeight="false" outlineLevel="0" collapsed="false">
      <c r="A31" s="10" t="n">
        <v>46084.250787037</v>
      </c>
      <c r="B31" s="11" t="s">
        <v>46</v>
      </c>
      <c r="C31" s="11" t="s">
        <v>20</v>
      </c>
      <c r="D31" s="11" t="s">
        <v>21</v>
      </c>
      <c r="E31" s="0" t="n">
        <v>0</v>
      </c>
      <c r="F31" s="12" t="n">
        <v>1999.97</v>
      </c>
      <c r="G31" s="12" t="n">
        <v>6.51</v>
      </c>
      <c r="H31" s="12" t="n">
        <v>-2</v>
      </c>
      <c r="I31" s="12" t="n">
        <v>0</v>
      </c>
      <c r="J31" s="12" t="n">
        <f aca="false">G31+H31+I31</f>
        <v>4.51</v>
      </c>
      <c r="K31" s="13" t="n">
        <f aca="false">IF(F31&gt;0,J31/F31,"")</f>
        <v>0.00225503382550738</v>
      </c>
      <c r="L31" s="11" t="s">
        <v>22</v>
      </c>
    </row>
    <row r="32" customFormat="false" ht="15" hidden="false" customHeight="false" outlineLevel="0" collapsed="false">
      <c r="A32" s="10" t="n">
        <v>46084.3355208333</v>
      </c>
      <c r="B32" s="11" t="s">
        <v>51</v>
      </c>
      <c r="C32" s="11" t="s">
        <v>20</v>
      </c>
      <c r="D32" s="11" t="s">
        <v>21</v>
      </c>
      <c r="E32" s="0" t="n">
        <v>0</v>
      </c>
      <c r="F32" s="12" t="n">
        <v>1999.93</v>
      </c>
      <c r="G32" s="12" t="n">
        <v>-3.65</v>
      </c>
      <c r="H32" s="12" t="n">
        <v>-2</v>
      </c>
      <c r="I32" s="12" t="n">
        <v>0</v>
      </c>
      <c r="J32" s="12" t="n">
        <f aca="false">G32+H32+I32</f>
        <v>-5.65</v>
      </c>
      <c r="K32" s="13" t="n">
        <f aca="false">IF(F32&gt;0,J32/F32,"")</f>
        <v>-0.00282509887846075</v>
      </c>
      <c r="L32" s="11" t="s">
        <v>25</v>
      </c>
    </row>
    <row r="33" customFormat="false" ht="15" hidden="false" customHeight="false" outlineLevel="0" collapsed="false">
      <c r="A33" s="10" t="n">
        <v>46084.381724537</v>
      </c>
      <c r="B33" s="11" t="s">
        <v>46</v>
      </c>
      <c r="C33" s="11" t="s">
        <v>20</v>
      </c>
      <c r="D33" s="11" t="s">
        <v>21</v>
      </c>
      <c r="E33" s="0" t="n">
        <v>0</v>
      </c>
      <c r="F33" s="12" t="n">
        <v>2000</v>
      </c>
      <c r="G33" s="12" t="n">
        <v>78.58</v>
      </c>
      <c r="H33" s="12" t="n">
        <v>-1.96</v>
      </c>
      <c r="I33" s="12" t="n">
        <v>0</v>
      </c>
      <c r="J33" s="12" t="n">
        <f aca="false">G33+H33+I33</f>
        <v>76.62</v>
      </c>
      <c r="K33" s="13" t="n">
        <f aca="false">IF(F33&gt;0,J33/F33,"")</f>
        <v>0.03831</v>
      </c>
      <c r="L33" s="11" t="s">
        <v>22</v>
      </c>
    </row>
    <row r="34" customFormat="false" ht="15" hidden="false" customHeight="false" outlineLevel="0" collapsed="false">
      <c r="A34" s="10" t="n">
        <v>46084.4229976852</v>
      </c>
      <c r="B34" s="11" t="s">
        <v>50</v>
      </c>
      <c r="C34" s="11" t="s">
        <v>20</v>
      </c>
      <c r="D34" s="11" t="s">
        <v>21</v>
      </c>
      <c r="E34" s="0" t="n">
        <v>0</v>
      </c>
      <c r="F34" s="12" t="n">
        <v>2000</v>
      </c>
      <c r="G34" s="12" t="n">
        <v>68.69</v>
      </c>
      <c r="H34" s="12" t="n">
        <v>-1.97</v>
      </c>
      <c r="I34" s="12" t="n">
        <v>0</v>
      </c>
      <c r="J34" s="12" t="n">
        <f aca="false">G34+H34+I34</f>
        <v>66.72</v>
      </c>
      <c r="K34" s="13" t="n">
        <f aca="false">IF(F34&gt;0,J34/F34,"")</f>
        <v>0.03336</v>
      </c>
      <c r="L34" s="11" t="s">
        <v>22</v>
      </c>
    </row>
    <row r="35" customFormat="false" ht="15" hidden="false" customHeight="false" outlineLevel="0" collapsed="false">
      <c r="A35" s="10" t="n">
        <v>46084.7128356482</v>
      </c>
      <c r="B35" s="11" t="s">
        <v>52</v>
      </c>
      <c r="C35" s="11" t="s">
        <v>20</v>
      </c>
      <c r="D35" s="11" t="s">
        <v>21</v>
      </c>
      <c r="E35" s="0" t="n">
        <v>0</v>
      </c>
      <c r="F35" s="12" t="n">
        <v>1999.99</v>
      </c>
      <c r="G35" s="12" t="n">
        <v>56.2</v>
      </c>
      <c r="H35" s="12" t="n">
        <v>-1.97</v>
      </c>
      <c r="I35" s="12" t="n">
        <v>-1.96</v>
      </c>
      <c r="J35" s="12" t="n">
        <f aca="false">G35+H35+I35</f>
        <v>52.27</v>
      </c>
      <c r="K35" s="13" t="n">
        <f aca="false">IF(F35&gt;0,J35/F35,"")</f>
        <v>0.0261351306756534</v>
      </c>
      <c r="L35" s="11" t="s">
        <v>22</v>
      </c>
    </row>
    <row r="36" customFormat="false" ht="15" hidden="false" customHeight="false" outlineLevel="0" collapsed="false">
      <c r="A36" s="10" t="n">
        <v>46084.7962847222</v>
      </c>
      <c r="B36" s="11" t="s">
        <v>53</v>
      </c>
      <c r="C36" s="11" t="s">
        <v>20</v>
      </c>
      <c r="D36" s="11" t="s">
        <v>21</v>
      </c>
      <c r="E36" s="0" t="n">
        <v>0</v>
      </c>
      <c r="F36" s="12" t="n">
        <v>1999.99</v>
      </c>
      <c r="G36" s="12" t="n">
        <v>100.46</v>
      </c>
      <c r="H36" s="12" t="n">
        <v>-1.95</v>
      </c>
      <c r="I36" s="12" t="n">
        <v>0</v>
      </c>
      <c r="J36" s="12" t="n">
        <f aca="false">G36+H36+I36</f>
        <v>98.51</v>
      </c>
      <c r="K36" s="13" t="n">
        <f aca="false">IF(F36&gt;0,J36/F36,"")</f>
        <v>0.0492552462762314</v>
      </c>
      <c r="L36" s="11" t="s">
        <v>22</v>
      </c>
    </row>
    <row r="37" customFormat="false" ht="15" hidden="false" customHeight="false" outlineLevel="0" collapsed="false">
      <c r="A37" s="10" t="n">
        <v>46084.8740393519</v>
      </c>
      <c r="B37" s="11" t="s">
        <v>54</v>
      </c>
      <c r="C37" s="11" t="s">
        <v>20</v>
      </c>
      <c r="D37" s="11" t="s">
        <v>21</v>
      </c>
      <c r="E37" s="0" t="n">
        <v>0</v>
      </c>
      <c r="F37" s="12" t="n">
        <v>1999.99</v>
      </c>
      <c r="G37" s="12" t="n">
        <v>95.27</v>
      </c>
      <c r="H37" s="12" t="n">
        <v>-1.95</v>
      </c>
      <c r="I37" s="12" t="n">
        <v>0.08</v>
      </c>
      <c r="J37" s="12" t="n">
        <f aca="false">G37+H37+I37</f>
        <v>93.4</v>
      </c>
      <c r="K37" s="13" t="n">
        <f aca="false">IF(F37&gt;0,J37/F37,"")</f>
        <v>0.0467002335011675</v>
      </c>
      <c r="L37" s="11" t="s">
        <v>22</v>
      </c>
    </row>
    <row r="38" customFormat="false" ht="15" hidden="false" customHeight="false" outlineLevel="0" collapsed="false">
      <c r="A38" s="10" t="n">
        <v>46084.8808217593</v>
      </c>
      <c r="B38" s="11" t="s">
        <v>53</v>
      </c>
      <c r="C38" s="11" t="s">
        <v>20</v>
      </c>
      <c r="D38" s="11" t="s">
        <v>21</v>
      </c>
      <c r="E38" s="0" t="n">
        <v>0</v>
      </c>
      <c r="F38" s="12" t="n">
        <v>1999.99</v>
      </c>
      <c r="G38" s="12" t="n">
        <v>62.55</v>
      </c>
      <c r="H38" s="12" t="n">
        <v>-1.97</v>
      </c>
      <c r="I38" s="12" t="n">
        <v>0</v>
      </c>
      <c r="J38" s="12" t="n">
        <f aca="false">G38+H38+I38</f>
        <v>60.58</v>
      </c>
      <c r="K38" s="13" t="n">
        <f aca="false">IF(F38&gt;0,J38/F38,"")</f>
        <v>0.0302901514507573</v>
      </c>
      <c r="L38" s="11" t="s">
        <v>22</v>
      </c>
    </row>
    <row r="39" customFormat="false" ht="15" hidden="false" customHeight="false" outlineLevel="0" collapsed="false">
      <c r="A39" s="10" t="n">
        <v>46085.2815856482</v>
      </c>
      <c r="B39" s="11" t="s">
        <v>46</v>
      </c>
      <c r="C39" s="11" t="s">
        <v>20</v>
      </c>
      <c r="D39" s="11" t="s">
        <v>21</v>
      </c>
      <c r="E39" s="0" t="n">
        <v>3</v>
      </c>
      <c r="F39" s="12" t="n">
        <v>2865.93</v>
      </c>
      <c r="G39" s="12" t="n">
        <v>89.19</v>
      </c>
      <c r="H39" s="12" t="n">
        <v>-2.82</v>
      </c>
      <c r="I39" s="12" t="n">
        <v>-53.77</v>
      </c>
      <c r="J39" s="12" t="n">
        <f aca="false">G39+H39+I39</f>
        <v>32.6</v>
      </c>
      <c r="K39" s="13" t="n">
        <f aca="false">IF(F39&gt;0,J39/F39,"")</f>
        <v>0.011375016137868</v>
      </c>
      <c r="L39" s="11" t="s">
        <v>55</v>
      </c>
    </row>
    <row r="40" customFormat="false" ht="15" hidden="false" customHeight="false" outlineLevel="0" collapsed="false">
      <c r="A40" s="10" t="n">
        <v>46085.7221643519</v>
      </c>
      <c r="B40" s="11" t="s">
        <v>56</v>
      </c>
      <c r="C40" s="11" t="s">
        <v>20</v>
      </c>
      <c r="D40" s="11" t="s">
        <v>21</v>
      </c>
      <c r="E40" s="0" t="n">
        <v>1</v>
      </c>
      <c r="F40" s="12" t="n">
        <v>849.98</v>
      </c>
      <c r="G40" s="12" t="n">
        <v>-7.32</v>
      </c>
      <c r="H40" s="12" t="n">
        <v>-0.85</v>
      </c>
      <c r="I40" s="12" t="n">
        <v>0</v>
      </c>
      <c r="J40" s="12" t="n">
        <f aca="false">G40+H40+I40</f>
        <v>-8.17</v>
      </c>
      <c r="K40" s="13" t="n">
        <f aca="false">IF(F40&gt;0,J40/F40,"")</f>
        <v>-0.00961199087037342</v>
      </c>
      <c r="L40" s="11" t="s">
        <v>25</v>
      </c>
    </row>
    <row r="41" customFormat="false" ht="15" hidden="false" customHeight="false" outlineLevel="0" collapsed="false">
      <c r="A41" s="10" t="n">
        <v>46086.4787962963</v>
      </c>
      <c r="B41" s="11" t="s">
        <v>57</v>
      </c>
      <c r="C41" s="11" t="s">
        <v>20</v>
      </c>
      <c r="D41" s="11" t="s">
        <v>21</v>
      </c>
      <c r="E41" s="0" t="n">
        <v>0</v>
      </c>
      <c r="F41" s="12" t="n">
        <v>1999.98</v>
      </c>
      <c r="G41" s="12" t="n">
        <v>-4.27</v>
      </c>
      <c r="H41" s="12" t="n">
        <v>-2</v>
      </c>
      <c r="I41" s="12" t="n">
        <v>0.6</v>
      </c>
      <c r="J41" s="12" t="n">
        <f aca="false">G41+H41+I41</f>
        <v>-5.67</v>
      </c>
      <c r="K41" s="13" t="n">
        <f aca="false">IF(F41&gt;0,J41/F41,"")</f>
        <v>-0.0028350283502835</v>
      </c>
      <c r="L41" s="11" t="s">
        <v>25</v>
      </c>
    </row>
    <row r="42" customFormat="false" ht="15" hidden="false" customHeight="false" outlineLevel="0" collapsed="false">
      <c r="A42" s="10" t="n">
        <v>46086.480162037</v>
      </c>
      <c r="B42" s="11" t="s">
        <v>58</v>
      </c>
      <c r="C42" s="11" t="s">
        <v>20</v>
      </c>
      <c r="D42" s="11" t="s">
        <v>21</v>
      </c>
      <c r="E42" s="0" t="n">
        <v>0</v>
      </c>
      <c r="F42" s="12" t="n">
        <v>2000</v>
      </c>
      <c r="G42" s="12" t="n">
        <v>100.93</v>
      </c>
      <c r="H42" s="12" t="n">
        <v>-1.95</v>
      </c>
      <c r="I42" s="12" t="n">
        <v>0</v>
      </c>
      <c r="J42" s="12" t="n">
        <f aca="false">G42+H42+I42</f>
        <v>98.98</v>
      </c>
      <c r="K42" s="13" t="n">
        <f aca="false">IF(F42&gt;0,J42/F42,"")</f>
        <v>0.04949</v>
      </c>
      <c r="L42" s="11" t="s">
        <v>22</v>
      </c>
    </row>
    <row r="43" customFormat="false" ht="15" hidden="false" customHeight="false" outlineLevel="0" collapsed="false">
      <c r="A43" s="10" t="n">
        <v>46086.4808101852</v>
      </c>
      <c r="B43" s="11" t="s">
        <v>59</v>
      </c>
      <c r="C43" s="11" t="s">
        <v>20</v>
      </c>
      <c r="D43" s="11" t="s">
        <v>21</v>
      </c>
      <c r="E43" s="0" t="n">
        <v>0</v>
      </c>
      <c r="F43" s="12" t="n">
        <v>1999.98</v>
      </c>
      <c r="G43" s="12" t="n">
        <v>44.72</v>
      </c>
      <c r="H43" s="12" t="n">
        <v>-1.98</v>
      </c>
      <c r="I43" s="12" t="n">
        <v>0.7</v>
      </c>
      <c r="J43" s="12" t="n">
        <f aca="false">G43+H43+I43</f>
        <v>43.44</v>
      </c>
      <c r="K43" s="13" t="n">
        <f aca="false">IF(F43&gt;0,J43/F43,"")</f>
        <v>0.021720217202172</v>
      </c>
      <c r="L43" s="11" t="s">
        <v>22</v>
      </c>
    </row>
    <row r="44" customFormat="false" ht="15" hidden="false" customHeight="false" outlineLevel="0" collapsed="false">
      <c r="A44" s="10" t="n">
        <v>46086.6250810185</v>
      </c>
      <c r="B44" s="11" t="s">
        <v>56</v>
      </c>
      <c r="C44" s="11" t="s">
        <v>20</v>
      </c>
      <c r="D44" s="11" t="s">
        <v>21</v>
      </c>
      <c r="E44" s="0" t="n">
        <v>1</v>
      </c>
      <c r="F44" s="12" t="n">
        <v>1999.97</v>
      </c>
      <c r="G44" s="12" t="n">
        <v>91.31</v>
      </c>
      <c r="H44" s="12" t="n">
        <v>-1.95</v>
      </c>
      <c r="I44" s="12" t="n">
        <v>2.28</v>
      </c>
      <c r="J44" s="12" t="n">
        <f aca="false">G44+H44+I44</f>
        <v>91.64</v>
      </c>
      <c r="K44" s="13" t="n">
        <f aca="false">IF(F44&gt;0,J44/F44,"")</f>
        <v>0.0458206873103097</v>
      </c>
      <c r="L44" s="11" t="s">
        <v>29</v>
      </c>
    </row>
    <row r="45" customFormat="false" ht="15" hidden="false" customHeight="false" outlineLevel="0" collapsed="false">
      <c r="A45" s="10" t="n">
        <v>46086.6315740741</v>
      </c>
      <c r="B45" s="11" t="s">
        <v>60</v>
      </c>
      <c r="C45" s="11" t="s">
        <v>20</v>
      </c>
      <c r="D45" s="11" t="s">
        <v>21</v>
      </c>
      <c r="E45" s="0" t="n">
        <v>0</v>
      </c>
      <c r="F45" s="12" t="n">
        <v>999.04</v>
      </c>
      <c r="G45" s="12" t="n">
        <v>65.51</v>
      </c>
      <c r="H45" s="12" t="n">
        <v>-0.97</v>
      </c>
      <c r="I45" s="12" t="n">
        <v>0</v>
      </c>
      <c r="J45" s="12" t="n">
        <f aca="false">G45+H45+I45</f>
        <v>64.54</v>
      </c>
      <c r="K45" s="13" t="n">
        <f aca="false">IF(F45&gt;0,J45/F45,"")</f>
        <v>0.0646020179372197</v>
      </c>
      <c r="L45" s="11" t="s">
        <v>22</v>
      </c>
    </row>
    <row r="46" customFormat="false" ht="15" hidden="false" customHeight="false" outlineLevel="0" collapsed="false">
      <c r="A46" s="10" t="n">
        <v>46086.7725462963</v>
      </c>
      <c r="B46" s="11" t="s">
        <v>28</v>
      </c>
      <c r="C46" s="11" t="s">
        <v>20</v>
      </c>
      <c r="D46" s="11" t="s">
        <v>21</v>
      </c>
      <c r="E46" s="0" t="n">
        <v>2</v>
      </c>
      <c r="F46" s="12" t="n">
        <v>3500</v>
      </c>
      <c r="G46" s="12" t="n">
        <v>130.85</v>
      </c>
      <c r="H46" s="12" t="n">
        <v>-3.43</v>
      </c>
      <c r="I46" s="12" t="n">
        <v>1.05</v>
      </c>
      <c r="J46" s="12" t="n">
        <f aca="false">G46+H46+I46</f>
        <v>128.47</v>
      </c>
      <c r="K46" s="13" t="n">
        <f aca="false">IF(F46&gt;0,J46/F46,"")</f>
        <v>0.0367057142857143</v>
      </c>
      <c r="L46" s="11" t="s">
        <v>61</v>
      </c>
    </row>
    <row r="47" customFormat="false" ht="15" hidden="false" customHeight="false" outlineLevel="0" collapsed="false">
      <c r="A47" s="10" t="n">
        <v>46086.8606134259</v>
      </c>
      <c r="B47" s="11" t="s">
        <v>62</v>
      </c>
      <c r="C47" s="11" t="s">
        <v>20</v>
      </c>
      <c r="D47" s="11" t="s">
        <v>21</v>
      </c>
      <c r="E47" s="0" t="n">
        <v>0</v>
      </c>
      <c r="F47" s="12" t="n">
        <v>2007.78</v>
      </c>
      <c r="G47" s="12" t="n">
        <v>58.42</v>
      </c>
      <c r="H47" s="12" t="n">
        <v>-1.98</v>
      </c>
      <c r="I47" s="12" t="n">
        <v>0</v>
      </c>
      <c r="J47" s="12" t="n">
        <f aca="false">G47+H47+I47</f>
        <v>56.44</v>
      </c>
      <c r="K47" s="13" t="n">
        <f aca="false">IF(F47&gt;0,J47/F47,"")</f>
        <v>0.0281106495731604</v>
      </c>
      <c r="L47" s="11" t="s">
        <v>22</v>
      </c>
    </row>
    <row r="48" customFormat="false" ht="15" hidden="false" customHeight="false" outlineLevel="0" collapsed="false">
      <c r="A48" s="10" t="n">
        <v>46086.8606828704</v>
      </c>
      <c r="B48" s="11" t="s">
        <v>58</v>
      </c>
      <c r="C48" s="11" t="s">
        <v>20</v>
      </c>
      <c r="D48" s="11" t="s">
        <v>21</v>
      </c>
      <c r="E48" s="0" t="n">
        <v>1</v>
      </c>
      <c r="F48" s="12" t="n">
        <v>2499.9</v>
      </c>
      <c r="G48" s="12" t="n">
        <v>41.17</v>
      </c>
      <c r="H48" s="12" t="n">
        <v>-2.48</v>
      </c>
      <c r="I48" s="12" t="n">
        <v>-30.95</v>
      </c>
      <c r="J48" s="12" t="n">
        <f aca="false">G48+H48+I48</f>
        <v>7.74000000000001</v>
      </c>
      <c r="K48" s="13" t="n">
        <f aca="false">IF(F48&gt;0,J48/F48,"")</f>
        <v>0.0030961238449538</v>
      </c>
      <c r="L48" s="11" t="s">
        <v>29</v>
      </c>
    </row>
    <row r="49" customFormat="false" ht="15" hidden="false" customHeight="false" outlineLevel="0" collapsed="false">
      <c r="A49" s="10" t="n">
        <v>46086.8607060185</v>
      </c>
      <c r="B49" s="11" t="s">
        <v>63</v>
      </c>
      <c r="C49" s="11" t="s">
        <v>20</v>
      </c>
      <c r="D49" s="11" t="s">
        <v>21</v>
      </c>
      <c r="E49" s="0" t="n">
        <v>0</v>
      </c>
      <c r="F49" s="12" t="n">
        <v>1999.97</v>
      </c>
      <c r="G49" s="12" t="n">
        <v>67.16</v>
      </c>
      <c r="H49" s="12" t="n">
        <v>-1.97</v>
      </c>
      <c r="I49" s="12" t="n">
        <v>0</v>
      </c>
      <c r="J49" s="12" t="n">
        <f aca="false">G49+H49+I49</f>
        <v>65.19</v>
      </c>
      <c r="K49" s="13" t="n">
        <f aca="false">IF(F49&gt;0,J49/F49,"")</f>
        <v>0.032595488932334</v>
      </c>
      <c r="L49" s="11" t="s">
        <v>22</v>
      </c>
    </row>
    <row r="50" customFormat="false" ht="15" hidden="false" customHeight="false" outlineLevel="0" collapsed="false">
      <c r="A50" s="10" t="n">
        <v>46086.9038773148</v>
      </c>
      <c r="B50" s="11" t="s">
        <v>64</v>
      </c>
      <c r="C50" s="11" t="s">
        <v>20</v>
      </c>
      <c r="D50" s="11" t="s">
        <v>21</v>
      </c>
      <c r="E50" s="0" t="n">
        <v>1</v>
      </c>
      <c r="F50" s="12" t="n">
        <v>3999.99</v>
      </c>
      <c r="G50" s="12" t="n">
        <v>84.35</v>
      </c>
      <c r="H50" s="12" t="n">
        <v>-3.96</v>
      </c>
      <c r="I50" s="12" t="n">
        <v>0</v>
      </c>
      <c r="J50" s="12" t="n">
        <f aca="false">G50+H50+I50</f>
        <v>80.39</v>
      </c>
      <c r="K50" s="13" t="n">
        <f aca="false">IF(F50&gt;0,J50/F50,"")</f>
        <v>0.0200975502438756</v>
      </c>
      <c r="L50" s="11" t="s">
        <v>29</v>
      </c>
    </row>
    <row r="51" customFormat="false" ht="15" hidden="false" customHeight="false" outlineLevel="0" collapsed="false">
      <c r="A51" s="10" t="n">
        <v>46087.3459722222</v>
      </c>
      <c r="B51" s="11" t="s">
        <v>65</v>
      </c>
      <c r="C51" s="11" t="s">
        <v>20</v>
      </c>
      <c r="D51" s="11" t="s">
        <v>21</v>
      </c>
      <c r="E51" s="0" t="n">
        <v>0</v>
      </c>
      <c r="F51" s="12" t="n">
        <v>1999.99</v>
      </c>
      <c r="G51" s="12" t="n">
        <v>62.24</v>
      </c>
      <c r="H51" s="12" t="n">
        <v>-1.97</v>
      </c>
      <c r="I51" s="12" t="n">
        <v>0</v>
      </c>
      <c r="J51" s="12" t="n">
        <f aca="false">G51+H51+I51</f>
        <v>60.27</v>
      </c>
      <c r="K51" s="13" t="n">
        <f aca="false">IF(F51&gt;0,J51/F51,"")</f>
        <v>0.0301351506757534</v>
      </c>
      <c r="L51" s="11" t="s">
        <v>22</v>
      </c>
    </row>
    <row r="52" customFormat="false" ht="15" hidden="false" customHeight="false" outlineLevel="0" collapsed="false">
      <c r="A52" s="10" t="n">
        <v>46087.3873148148</v>
      </c>
      <c r="B52" s="11" t="s">
        <v>66</v>
      </c>
      <c r="C52" s="11" t="s">
        <v>20</v>
      </c>
      <c r="D52" s="11" t="s">
        <v>21</v>
      </c>
      <c r="E52" s="0" t="n">
        <v>0</v>
      </c>
      <c r="F52" s="12" t="n">
        <v>1999.98</v>
      </c>
      <c r="G52" s="12" t="n">
        <v>62.18</v>
      </c>
      <c r="H52" s="12" t="n">
        <v>-1.97</v>
      </c>
      <c r="I52" s="12" t="n">
        <v>0</v>
      </c>
      <c r="J52" s="12" t="n">
        <f aca="false">G52+H52+I52</f>
        <v>60.21</v>
      </c>
      <c r="K52" s="13" t="n">
        <f aca="false">IF(F52&gt;0,J52/F52,"")</f>
        <v>0.0301053010530105</v>
      </c>
      <c r="L52" s="11" t="s">
        <v>22</v>
      </c>
    </row>
    <row r="53" customFormat="false" ht="15" hidden="false" customHeight="false" outlineLevel="0" collapsed="false">
      <c r="A53" s="10" t="n">
        <v>46087.4897800926</v>
      </c>
      <c r="B53" s="11" t="s">
        <v>67</v>
      </c>
      <c r="C53" s="11" t="s">
        <v>20</v>
      </c>
      <c r="D53" s="11" t="s">
        <v>21</v>
      </c>
      <c r="E53" s="0" t="n">
        <v>3</v>
      </c>
      <c r="F53" s="12" t="n">
        <v>3499.75</v>
      </c>
      <c r="G53" s="12" t="n">
        <v>114.16</v>
      </c>
      <c r="H53" s="12" t="n">
        <v>-3.44</v>
      </c>
      <c r="I53" s="12" t="n">
        <v>0.11</v>
      </c>
      <c r="J53" s="12" t="n">
        <f aca="false">G53+H53+I53</f>
        <v>110.83</v>
      </c>
      <c r="K53" s="13" t="n">
        <f aca="false">IF(F53&gt;0,J53/F53,"")</f>
        <v>0.0316679762840203</v>
      </c>
      <c r="L53" s="11" t="s">
        <v>55</v>
      </c>
    </row>
    <row r="54" customFormat="false" ht="15" hidden="false" customHeight="false" outlineLevel="0" collapsed="false">
      <c r="A54" s="10" t="n">
        <v>46087.6233449074</v>
      </c>
      <c r="B54" s="11" t="s">
        <v>67</v>
      </c>
      <c r="C54" s="11" t="s">
        <v>20</v>
      </c>
      <c r="D54" s="11" t="s">
        <v>21</v>
      </c>
      <c r="E54" s="0" t="n">
        <v>0</v>
      </c>
      <c r="F54" s="12" t="n">
        <v>2999.91</v>
      </c>
      <c r="G54" s="12" t="n">
        <v>109.66</v>
      </c>
      <c r="H54" s="12" t="n">
        <v>-2.95</v>
      </c>
      <c r="I54" s="12" t="n">
        <v>0</v>
      </c>
      <c r="J54" s="12" t="n">
        <f aca="false">G54+H54+I54</f>
        <v>106.71</v>
      </c>
      <c r="K54" s="13" t="n">
        <f aca="false">IF(F54&gt;0,J54/F54,"")</f>
        <v>0.035571067132014</v>
      </c>
      <c r="L54" s="11" t="s">
        <v>22</v>
      </c>
    </row>
    <row r="55" customFormat="false" ht="15" hidden="false" customHeight="false" outlineLevel="0" collapsed="false">
      <c r="A55" s="10" t="n">
        <v>46087.9622916667</v>
      </c>
      <c r="B55" s="11" t="s">
        <v>68</v>
      </c>
      <c r="C55" s="11" t="s">
        <v>20</v>
      </c>
      <c r="D55" s="11" t="s">
        <v>21</v>
      </c>
      <c r="E55" s="0" t="n">
        <v>0</v>
      </c>
      <c r="F55" s="12" t="n">
        <v>1999.93</v>
      </c>
      <c r="G55" s="12" t="n">
        <v>13.76</v>
      </c>
      <c r="H55" s="12" t="n">
        <v>-1.99</v>
      </c>
      <c r="I55" s="12" t="n">
        <v>0.1</v>
      </c>
      <c r="J55" s="12" t="n">
        <f aca="false">G55+H55+I55</f>
        <v>11.87</v>
      </c>
      <c r="K55" s="13" t="n">
        <f aca="false">IF(F55&gt;0,J55/F55,"")</f>
        <v>0.00593520773227063</v>
      </c>
      <c r="L55" s="11" t="s">
        <v>22</v>
      </c>
    </row>
    <row r="56" customFormat="false" ht="15" hidden="false" customHeight="false" outlineLevel="0" collapsed="false">
      <c r="A56" s="10" t="n">
        <v>46088.2919675926</v>
      </c>
      <c r="B56" s="11" t="s">
        <v>67</v>
      </c>
      <c r="C56" s="11" t="s">
        <v>20</v>
      </c>
      <c r="D56" s="11" t="s">
        <v>21</v>
      </c>
      <c r="E56" s="0" t="n">
        <v>0</v>
      </c>
      <c r="F56" s="12" t="n">
        <v>1999.96</v>
      </c>
      <c r="G56" s="12" t="n">
        <v>66.08</v>
      </c>
      <c r="H56" s="12" t="n">
        <v>-1.97</v>
      </c>
      <c r="I56" s="12" t="n">
        <v>0.3</v>
      </c>
      <c r="J56" s="12" t="n">
        <f aca="false">G56+H56+I56</f>
        <v>64.41</v>
      </c>
      <c r="K56" s="13" t="n">
        <f aca="false">IF(F56&gt;0,J56/F56,"")</f>
        <v>0.0322056441128823</v>
      </c>
      <c r="L56" s="11" t="s">
        <v>22</v>
      </c>
    </row>
    <row r="57" customFormat="false" ht="15" hidden="false" customHeight="false" outlineLevel="0" collapsed="false">
      <c r="A57" s="10" t="n">
        <v>46088.3079398148</v>
      </c>
      <c r="B57" s="11" t="s">
        <v>69</v>
      </c>
      <c r="C57" s="11" t="s">
        <v>20</v>
      </c>
      <c r="D57" s="11" t="s">
        <v>21</v>
      </c>
      <c r="E57" s="0" t="n">
        <v>1</v>
      </c>
      <c r="F57" s="12" t="n">
        <v>2499.95</v>
      </c>
      <c r="G57" s="12" t="n">
        <v>32.52</v>
      </c>
      <c r="H57" s="12" t="n">
        <v>-2.33</v>
      </c>
      <c r="I57" s="12" t="n">
        <v>0.53</v>
      </c>
      <c r="J57" s="12" t="n">
        <f aca="false">G57+H57+I57</f>
        <v>30.72</v>
      </c>
      <c r="K57" s="13" t="n">
        <f aca="false">IF(F57&gt;0,J57/F57,"")</f>
        <v>0.0122882457649153</v>
      </c>
      <c r="L57" s="11" t="s">
        <v>29</v>
      </c>
    </row>
    <row r="58" customFormat="false" ht="15" hidden="false" customHeight="false" outlineLevel="0" collapsed="false">
      <c r="A58" s="10" t="n">
        <v>46088.3234837963</v>
      </c>
      <c r="B58" s="11" t="s">
        <v>28</v>
      </c>
      <c r="C58" s="11" t="s">
        <v>20</v>
      </c>
      <c r="D58" s="11" t="s">
        <v>21</v>
      </c>
      <c r="E58" s="0" t="n">
        <v>2</v>
      </c>
      <c r="F58" s="12" t="n">
        <v>2500</v>
      </c>
      <c r="G58" s="12" t="n">
        <v>300.87</v>
      </c>
      <c r="H58" s="12" t="n">
        <v>-2.35</v>
      </c>
      <c r="I58" s="12" t="n">
        <v>0</v>
      </c>
      <c r="J58" s="12" t="n">
        <f aca="false">G58+H58+I58</f>
        <v>298.52</v>
      </c>
      <c r="K58" s="13" t="n">
        <f aca="false">IF(F58&gt;0,J58/F58,"")</f>
        <v>0.119408</v>
      </c>
      <c r="L58" s="11" t="s">
        <v>61</v>
      </c>
    </row>
    <row r="59" customFormat="false" ht="15" hidden="false" customHeight="false" outlineLevel="0" collapsed="false">
      <c r="A59" s="10" t="n">
        <v>46088.4512615741</v>
      </c>
      <c r="B59" s="11" t="s">
        <v>70</v>
      </c>
      <c r="C59" s="11" t="s">
        <v>20</v>
      </c>
      <c r="D59" s="11" t="s">
        <v>21</v>
      </c>
      <c r="E59" s="0" t="n">
        <v>0</v>
      </c>
      <c r="F59" s="12" t="n">
        <v>2000</v>
      </c>
      <c r="G59" s="12" t="n">
        <v>42.22</v>
      </c>
      <c r="H59" s="12" t="n">
        <v>-1.98</v>
      </c>
      <c r="I59" s="12" t="n">
        <v>0</v>
      </c>
      <c r="J59" s="12" t="n">
        <f aca="false">G59+H59+I59</f>
        <v>40.24</v>
      </c>
      <c r="K59" s="13" t="n">
        <f aca="false">IF(F59&gt;0,J59/F59,"")</f>
        <v>0.02012</v>
      </c>
      <c r="L59" s="11" t="s">
        <v>22</v>
      </c>
    </row>
    <row r="60" customFormat="false" ht="15" hidden="false" customHeight="false" outlineLevel="0" collapsed="false">
      <c r="A60" s="10" t="n">
        <v>46088.4551388889</v>
      </c>
      <c r="B60" s="11" t="s">
        <v>52</v>
      </c>
      <c r="C60" s="11" t="s">
        <v>20</v>
      </c>
      <c r="D60" s="11" t="s">
        <v>21</v>
      </c>
      <c r="E60" s="0" t="n">
        <v>1</v>
      </c>
      <c r="F60" s="12" t="n">
        <v>2899.96</v>
      </c>
      <c r="G60" s="12" t="n">
        <v>8.63</v>
      </c>
      <c r="H60" s="12" t="n">
        <v>-2.9</v>
      </c>
      <c r="I60" s="12" t="n">
        <v>0</v>
      </c>
      <c r="J60" s="12" t="n">
        <f aca="false">G60+H60+I60</f>
        <v>5.73</v>
      </c>
      <c r="K60" s="13" t="n">
        <f aca="false">IF(F60&gt;0,J60/F60,"")</f>
        <v>0.00197588932261135</v>
      </c>
      <c r="L60" s="11" t="s">
        <v>29</v>
      </c>
    </row>
    <row r="61" customFormat="false" ht="15" hidden="false" customHeight="false" outlineLevel="0" collapsed="false">
      <c r="A61" s="10" t="n">
        <v>46088.4591087963</v>
      </c>
      <c r="B61" s="11" t="s">
        <v>52</v>
      </c>
      <c r="C61" s="11" t="s">
        <v>20</v>
      </c>
      <c r="D61" s="11" t="s">
        <v>21</v>
      </c>
      <c r="E61" s="0" t="n">
        <v>0</v>
      </c>
      <c r="F61" s="12" t="n">
        <v>3999.99</v>
      </c>
      <c r="G61" s="12" t="n">
        <v>88.48</v>
      </c>
      <c r="H61" s="12" t="n">
        <v>-3.96</v>
      </c>
      <c r="I61" s="12" t="n">
        <v>0</v>
      </c>
      <c r="J61" s="12" t="n">
        <f aca="false">G61+H61+I61</f>
        <v>84.52</v>
      </c>
      <c r="K61" s="13" t="n">
        <f aca="false">IF(F61&gt;0,J61/F61,"")</f>
        <v>0.0211300528251321</v>
      </c>
      <c r="L61" s="11" t="s">
        <v>22</v>
      </c>
    </row>
    <row r="62" customFormat="false" ht="15" hidden="false" customHeight="false" outlineLevel="0" collapsed="false">
      <c r="A62" s="10" t="n">
        <v>46088.4694560185</v>
      </c>
      <c r="B62" s="11" t="s">
        <v>71</v>
      </c>
      <c r="C62" s="11" t="s">
        <v>20</v>
      </c>
      <c r="D62" s="11" t="s">
        <v>21</v>
      </c>
      <c r="E62" s="0" t="n">
        <v>0</v>
      </c>
      <c r="F62" s="12" t="n">
        <v>3000</v>
      </c>
      <c r="G62" s="12" t="n">
        <v>28.95</v>
      </c>
      <c r="H62" s="12" t="n">
        <v>-2.99</v>
      </c>
      <c r="I62" s="12" t="n">
        <v>0.19</v>
      </c>
      <c r="J62" s="12" t="n">
        <f aca="false">G62+H62+I62</f>
        <v>26.15</v>
      </c>
      <c r="K62" s="13" t="n">
        <f aca="false">IF(F62&gt;0,J62/F62,"")</f>
        <v>0.00871666666666667</v>
      </c>
      <c r="L62" s="11" t="s">
        <v>22</v>
      </c>
    </row>
    <row r="63" customFormat="false" ht="15" hidden="false" customHeight="false" outlineLevel="0" collapsed="false">
      <c r="A63" s="10" t="n">
        <v>46088.5294675926</v>
      </c>
      <c r="B63" s="11" t="s">
        <v>72</v>
      </c>
      <c r="C63" s="11" t="s">
        <v>20</v>
      </c>
      <c r="D63" s="11" t="s">
        <v>21</v>
      </c>
      <c r="E63" s="0" t="n">
        <v>1</v>
      </c>
      <c r="F63" s="12" t="n">
        <v>4999.98</v>
      </c>
      <c r="G63" s="12" t="n">
        <v>51.56</v>
      </c>
      <c r="H63" s="12" t="n">
        <v>-4.97</v>
      </c>
      <c r="I63" s="12" t="n">
        <v>0</v>
      </c>
      <c r="J63" s="12" t="n">
        <f aca="false">G63+H63+I63</f>
        <v>46.59</v>
      </c>
      <c r="K63" s="13" t="n">
        <f aca="false">IF(F63&gt;0,J63/F63,"")</f>
        <v>0.00931803727214909</v>
      </c>
      <c r="L63" s="11" t="s">
        <v>29</v>
      </c>
    </row>
    <row r="64" customFormat="false" ht="15" hidden="false" customHeight="false" outlineLevel="0" collapsed="false">
      <c r="A64" s="10" t="n">
        <v>46088.576099537</v>
      </c>
      <c r="B64" s="11" t="s">
        <v>59</v>
      </c>
      <c r="C64" s="11" t="s">
        <v>20</v>
      </c>
      <c r="D64" s="11" t="s">
        <v>21</v>
      </c>
      <c r="E64" s="0" t="n">
        <v>0</v>
      </c>
      <c r="F64" s="12" t="n">
        <v>3999.98</v>
      </c>
      <c r="G64" s="12" t="n">
        <v>82.91</v>
      </c>
      <c r="H64" s="12" t="n">
        <v>-3.96</v>
      </c>
      <c r="I64" s="12" t="n">
        <v>0</v>
      </c>
      <c r="J64" s="12" t="n">
        <f aca="false">G64+H64+I64</f>
        <v>78.95</v>
      </c>
      <c r="K64" s="13" t="n">
        <f aca="false">IF(F64&gt;0,J64/F64,"")</f>
        <v>0.0197375986879934</v>
      </c>
      <c r="L64" s="11" t="s">
        <v>22</v>
      </c>
    </row>
    <row r="65" customFormat="false" ht="15" hidden="false" customHeight="false" outlineLevel="0" collapsed="false">
      <c r="A65" s="10" t="n">
        <v>46088.5843981481</v>
      </c>
      <c r="B65" s="11" t="s">
        <v>68</v>
      </c>
      <c r="C65" s="11" t="s">
        <v>20</v>
      </c>
      <c r="D65" s="11" t="s">
        <v>21</v>
      </c>
      <c r="E65" s="0" t="n">
        <v>0</v>
      </c>
      <c r="F65" s="12" t="n">
        <v>4999.97</v>
      </c>
      <c r="G65" s="12" t="n">
        <v>-49.48</v>
      </c>
      <c r="H65" s="12" t="n">
        <v>-5.02</v>
      </c>
      <c r="I65" s="12" t="n">
        <v>0</v>
      </c>
      <c r="J65" s="12" t="n">
        <f aca="false">G65+H65+I65</f>
        <v>-54.5</v>
      </c>
      <c r="K65" s="13" t="n">
        <f aca="false">IF(F65&gt;0,J65/F65,"")</f>
        <v>-0.0109000654003924</v>
      </c>
      <c r="L65" s="11" t="s">
        <v>25</v>
      </c>
    </row>
    <row r="66" customFormat="false" ht="15" hidden="false" customHeight="false" outlineLevel="0" collapsed="false">
      <c r="A66" s="10" t="n">
        <v>46088.6237037037</v>
      </c>
      <c r="B66" s="11" t="s">
        <v>73</v>
      </c>
      <c r="C66" s="11" t="s">
        <v>20</v>
      </c>
      <c r="D66" s="11" t="s">
        <v>21</v>
      </c>
      <c r="E66" s="0" t="n">
        <v>1</v>
      </c>
      <c r="F66" s="12" t="n">
        <v>4999.95</v>
      </c>
      <c r="G66" s="12" t="n">
        <v>-15.31</v>
      </c>
      <c r="H66" s="12" t="n">
        <v>-5.01</v>
      </c>
      <c r="I66" s="12" t="n">
        <v>0</v>
      </c>
      <c r="J66" s="12" t="n">
        <f aca="false">G66+H66+I66</f>
        <v>-20.32</v>
      </c>
      <c r="K66" s="13" t="n">
        <f aca="false">IF(F66&gt;0,J66/F66,"")</f>
        <v>-0.00406404064040641</v>
      </c>
      <c r="L66" s="11" t="s">
        <v>25</v>
      </c>
    </row>
    <row r="67" customFormat="false" ht="15" hidden="false" customHeight="false" outlineLevel="0" collapsed="false">
      <c r="A67" s="10" t="n">
        <v>46088.691875</v>
      </c>
      <c r="B67" s="11" t="s">
        <v>74</v>
      </c>
      <c r="C67" s="11" t="s">
        <v>20</v>
      </c>
      <c r="D67" s="11" t="s">
        <v>21</v>
      </c>
      <c r="E67" s="0" t="n">
        <v>0</v>
      </c>
      <c r="F67" s="12" t="n">
        <v>4000</v>
      </c>
      <c r="G67" s="12" t="n">
        <v>81.42</v>
      </c>
      <c r="H67" s="12" t="n">
        <v>-3.96</v>
      </c>
      <c r="I67" s="12" t="n">
        <v>0</v>
      </c>
      <c r="J67" s="12" t="n">
        <f aca="false">G67+H67+I67</f>
        <v>77.46</v>
      </c>
      <c r="K67" s="13" t="n">
        <f aca="false">IF(F67&gt;0,J67/F67,"")</f>
        <v>0.019365</v>
      </c>
      <c r="L67" s="11" t="s">
        <v>22</v>
      </c>
    </row>
    <row r="68" customFormat="false" ht="15" hidden="false" customHeight="false" outlineLevel="0" collapsed="false">
      <c r="A68" s="10" t="n">
        <v>46088.7030208333</v>
      </c>
      <c r="B68" s="11" t="s">
        <v>56</v>
      </c>
      <c r="C68" s="11" t="s">
        <v>20</v>
      </c>
      <c r="D68" s="11" t="s">
        <v>21</v>
      </c>
      <c r="E68" s="0" t="n">
        <v>1</v>
      </c>
      <c r="F68" s="12" t="n">
        <v>2999.97</v>
      </c>
      <c r="G68" s="12" t="n">
        <v>86.2</v>
      </c>
      <c r="H68" s="12" t="n">
        <v>-2.96</v>
      </c>
      <c r="I68" s="12" t="n">
        <v>0</v>
      </c>
      <c r="J68" s="12" t="n">
        <f aca="false">G68+H68+I68</f>
        <v>83.24</v>
      </c>
      <c r="K68" s="13" t="n">
        <f aca="false">IF(F68&gt;0,J68/F68,"")</f>
        <v>0.027746944136108</v>
      </c>
      <c r="L68" s="11" t="s">
        <v>29</v>
      </c>
    </row>
    <row r="69" customFormat="false" ht="15" hidden="false" customHeight="false" outlineLevel="0" collapsed="false">
      <c r="A69" s="10" t="n">
        <v>46088.8289236111</v>
      </c>
      <c r="B69" s="11" t="s">
        <v>75</v>
      </c>
      <c r="C69" s="11" t="s">
        <v>20</v>
      </c>
      <c r="D69" s="11" t="s">
        <v>21</v>
      </c>
      <c r="E69" s="0" t="n">
        <v>0</v>
      </c>
      <c r="F69" s="12" t="n">
        <v>2000</v>
      </c>
      <c r="G69" s="12" t="n">
        <v>52.49</v>
      </c>
      <c r="H69" s="12" t="n">
        <v>-1.97</v>
      </c>
      <c r="I69" s="12" t="n">
        <v>0</v>
      </c>
      <c r="J69" s="12" t="n">
        <f aca="false">G69+H69+I69</f>
        <v>50.52</v>
      </c>
      <c r="K69" s="13" t="n">
        <f aca="false">IF(F69&gt;0,J69/F69,"")</f>
        <v>0.02526</v>
      </c>
      <c r="L69" s="11" t="s">
        <v>22</v>
      </c>
    </row>
    <row r="70" customFormat="false" ht="15" hidden="false" customHeight="false" outlineLevel="0" collapsed="false">
      <c r="A70" s="10" t="n">
        <v>46088.988900463</v>
      </c>
      <c r="B70" s="11" t="s">
        <v>76</v>
      </c>
      <c r="C70" s="11" t="s">
        <v>20</v>
      </c>
      <c r="D70" s="11" t="s">
        <v>21</v>
      </c>
      <c r="E70" s="0" t="n">
        <v>1</v>
      </c>
      <c r="F70" s="12" t="n">
        <v>4999.4</v>
      </c>
      <c r="G70" s="12" t="n">
        <v>57.19</v>
      </c>
      <c r="H70" s="12" t="n">
        <v>-4.97</v>
      </c>
      <c r="I70" s="12" t="n">
        <v>-79.01</v>
      </c>
      <c r="J70" s="12" t="n">
        <f aca="false">G70+H70+I70</f>
        <v>-26.79</v>
      </c>
      <c r="K70" s="13" t="n">
        <f aca="false">IF(F70&gt;0,J70/F70,"")</f>
        <v>-0.00535864303716446</v>
      </c>
      <c r="L70" s="11" t="s">
        <v>25</v>
      </c>
    </row>
    <row r="71" customFormat="false" ht="15" hidden="false" customHeight="false" outlineLevel="0" collapsed="false">
      <c r="A71" s="10" t="n">
        <v>46089.7088078704</v>
      </c>
      <c r="B71" s="11" t="s">
        <v>77</v>
      </c>
      <c r="C71" s="11" t="s">
        <v>20</v>
      </c>
      <c r="D71" s="11" t="s">
        <v>21</v>
      </c>
      <c r="E71" s="0" t="n">
        <v>0</v>
      </c>
      <c r="F71" s="12" t="n">
        <v>1999.96</v>
      </c>
      <c r="G71" s="12" t="n">
        <v>29.41</v>
      </c>
      <c r="H71" s="12" t="n">
        <v>-1.99</v>
      </c>
      <c r="I71" s="12" t="n">
        <v>0.12</v>
      </c>
      <c r="J71" s="12" t="n">
        <f aca="false">G71+H71+I71</f>
        <v>27.54</v>
      </c>
      <c r="K71" s="13" t="n">
        <f aca="false">IF(F71&gt;0,J71/F71,"")</f>
        <v>0.0137702754055081</v>
      </c>
      <c r="L71" s="11" t="s">
        <v>22</v>
      </c>
    </row>
    <row r="72" customFormat="false" ht="15" hidden="false" customHeight="false" outlineLevel="0" collapsed="false">
      <c r="A72" s="10" t="n">
        <v>46089.9206828704</v>
      </c>
      <c r="B72" s="11" t="s">
        <v>78</v>
      </c>
      <c r="C72" s="11" t="s">
        <v>20</v>
      </c>
      <c r="D72" s="11" t="s">
        <v>21</v>
      </c>
      <c r="E72" s="0" t="n">
        <v>1</v>
      </c>
      <c r="F72" s="12" t="n">
        <v>4185.99</v>
      </c>
      <c r="G72" s="12" t="n">
        <v>58.13</v>
      </c>
      <c r="H72" s="12" t="n">
        <v>-4.16</v>
      </c>
      <c r="I72" s="12" t="n">
        <v>-14.98</v>
      </c>
      <c r="J72" s="12" t="n">
        <f aca="false">G72+H72+I72</f>
        <v>38.99</v>
      </c>
      <c r="K72" s="13" t="n">
        <f aca="false">IF(F72&gt;0,J72/F72,"")</f>
        <v>0.00931440352222533</v>
      </c>
      <c r="L72" s="11" t="s">
        <v>29</v>
      </c>
    </row>
    <row r="73" customFormat="false" ht="15" hidden="false" customHeight="false" outlineLevel="0" collapsed="false">
      <c r="A73" s="10" t="n">
        <v>46090.001087963</v>
      </c>
      <c r="B73" s="11" t="s">
        <v>79</v>
      </c>
      <c r="C73" s="11" t="s">
        <v>20</v>
      </c>
      <c r="D73" s="11" t="s">
        <v>21</v>
      </c>
      <c r="E73" s="0" t="n">
        <v>0</v>
      </c>
      <c r="F73" s="12" t="n">
        <v>2699.59</v>
      </c>
      <c r="G73" s="12" t="n">
        <v>82.59</v>
      </c>
      <c r="H73" s="12" t="n">
        <v>-2.66</v>
      </c>
      <c r="I73" s="12" t="n">
        <v>-18.12</v>
      </c>
      <c r="J73" s="12" t="n">
        <f aca="false">G73+H73+I73</f>
        <v>61.81</v>
      </c>
      <c r="K73" s="13" t="n">
        <f aca="false">IF(F73&gt;0,J73/F73,"")</f>
        <v>0.0228960694031316</v>
      </c>
      <c r="L73" s="11" t="s">
        <v>22</v>
      </c>
    </row>
    <row r="74" customFormat="false" ht="15" hidden="false" customHeight="false" outlineLevel="0" collapsed="false">
      <c r="A74" s="10" t="n">
        <v>46090.7868865741</v>
      </c>
      <c r="B74" s="11" t="s">
        <v>80</v>
      </c>
      <c r="C74" s="11" t="s">
        <v>20</v>
      </c>
      <c r="D74" s="11" t="s">
        <v>21</v>
      </c>
      <c r="E74" s="0" t="n">
        <v>0</v>
      </c>
      <c r="F74" s="12" t="n">
        <v>3000</v>
      </c>
      <c r="G74" s="12" t="n">
        <v>2.3</v>
      </c>
      <c r="H74" s="12" t="n">
        <v>-3</v>
      </c>
      <c r="I74" s="12" t="n">
        <v>-0.18</v>
      </c>
      <c r="J74" s="12" t="n">
        <f aca="false">G74+H74+I74</f>
        <v>-0.88</v>
      </c>
      <c r="K74" s="13" t="n">
        <f aca="false">IF(F74&gt;0,J74/F74,"")</f>
        <v>-0.000293333333333333</v>
      </c>
      <c r="L74" s="11" t="s">
        <v>25</v>
      </c>
    </row>
    <row r="75" customFormat="false" ht="15" hidden="false" customHeight="false" outlineLevel="0" collapsed="false">
      <c r="A75" s="10" t="n">
        <v>46090.8405324074</v>
      </c>
      <c r="B75" s="11" t="s">
        <v>81</v>
      </c>
      <c r="C75" s="11" t="s">
        <v>20</v>
      </c>
      <c r="D75" s="11" t="s">
        <v>21</v>
      </c>
      <c r="E75" s="0" t="n">
        <v>0</v>
      </c>
      <c r="F75" s="12" t="n">
        <v>3699.99</v>
      </c>
      <c r="G75" s="12" t="n">
        <v>56.45</v>
      </c>
      <c r="H75" s="12" t="n">
        <v>-3.67</v>
      </c>
      <c r="I75" s="12" t="n">
        <v>0.18</v>
      </c>
      <c r="J75" s="12" t="n">
        <f aca="false">G75+H75+I75</f>
        <v>52.96</v>
      </c>
      <c r="K75" s="13" t="n">
        <f aca="false">IF(F75&gt;0,J75/F75,"")</f>
        <v>0.0143135521987897</v>
      </c>
      <c r="L75" s="11" t="s">
        <v>22</v>
      </c>
    </row>
    <row r="76" customFormat="false" ht="15" hidden="false" customHeight="false" outlineLevel="0" collapsed="false">
      <c r="A76" s="10" t="n">
        <v>46090.8505787037</v>
      </c>
      <c r="B76" s="11" t="s">
        <v>82</v>
      </c>
      <c r="C76" s="11" t="s">
        <v>20</v>
      </c>
      <c r="D76" s="11" t="s">
        <v>21</v>
      </c>
      <c r="E76" s="0" t="n">
        <v>0</v>
      </c>
      <c r="F76" s="12" t="n">
        <v>2999.97</v>
      </c>
      <c r="G76" s="12" t="n">
        <v>3.7</v>
      </c>
      <c r="H76" s="12" t="n">
        <v>-3</v>
      </c>
      <c r="I76" s="12" t="n">
        <v>0</v>
      </c>
      <c r="J76" s="12" t="n">
        <f aca="false">G76+H76+I76</f>
        <v>0.7</v>
      </c>
      <c r="K76" s="13" t="n">
        <f aca="false">IF(F76&gt;0,J76/F76,"")</f>
        <v>0.00023333566669</v>
      </c>
      <c r="L76" s="11" t="s">
        <v>22</v>
      </c>
    </row>
    <row r="77" customFormat="false" ht="15" hidden="false" customHeight="false" outlineLevel="0" collapsed="false">
      <c r="A77" s="10" t="n">
        <v>46090.8891898148</v>
      </c>
      <c r="B77" s="11" t="s">
        <v>83</v>
      </c>
      <c r="C77" s="11" t="s">
        <v>20</v>
      </c>
      <c r="D77" s="11" t="s">
        <v>21</v>
      </c>
      <c r="E77" s="0" t="n">
        <v>0</v>
      </c>
      <c r="F77" s="12" t="n">
        <v>2000</v>
      </c>
      <c r="G77" s="12" t="n">
        <v>52.63</v>
      </c>
      <c r="H77" s="12" t="n">
        <v>-1.97</v>
      </c>
      <c r="I77" s="12" t="n">
        <v>0</v>
      </c>
      <c r="J77" s="12" t="n">
        <f aca="false">G77+H77+I77</f>
        <v>50.66</v>
      </c>
      <c r="K77" s="13" t="n">
        <f aca="false">IF(F77&gt;0,J77/F77,"")</f>
        <v>0.02533</v>
      </c>
      <c r="L77" s="11" t="s">
        <v>22</v>
      </c>
    </row>
    <row r="78" customFormat="false" ht="15" hidden="false" customHeight="false" outlineLevel="0" collapsed="false">
      <c r="A78" s="10" t="n">
        <v>46091.2866435185</v>
      </c>
      <c r="B78" s="11" t="s">
        <v>84</v>
      </c>
      <c r="C78" s="11" t="s">
        <v>20</v>
      </c>
      <c r="D78" s="11" t="s">
        <v>21</v>
      </c>
      <c r="E78" s="0" t="n">
        <v>0</v>
      </c>
      <c r="F78" s="12" t="n">
        <v>3499.95</v>
      </c>
      <c r="G78" s="12" t="n">
        <v>93.56</v>
      </c>
      <c r="H78" s="12" t="n">
        <v>-3.45</v>
      </c>
      <c r="I78" s="12" t="n">
        <v>0</v>
      </c>
      <c r="J78" s="12" t="n">
        <f aca="false">G78+H78+I78</f>
        <v>90.11</v>
      </c>
      <c r="K78" s="13" t="n">
        <f aca="false">IF(F78&gt;0,J78/F78,"")</f>
        <v>0.025746082086887</v>
      </c>
      <c r="L78" s="11" t="s">
        <v>22</v>
      </c>
    </row>
    <row r="79" customFormat="false" ht="15" hidden="false" customHeight="false" outlineLevel="0" collapsed="false">
      <c r="A79" s="10" t="n">
        <v>46091.3324768519</v>
      </c>
      <c r="B79" s="11" t="s">
        <v>85</v>
      </c>
      <c r="C79" s="11" t="s">
        <v>20</v>
      </c>
      <c r="D79" s="11" t="s">
        <v>21</v>
      </c>
      <c r="E79" s="0" t="n">
        <v>0</v>
      </c>
      <c r="F79" s="12" t="n">
        <v>1999.98</v>
      </c>
      <c r="G79" s="12" t="n">
        <v>15.74</v>
      </c>
      <c r="H79" s="12" t="n">
        <v>-1.99</v>
      </c>
      <c r="I79" s="12" t="n">
        <v>0</v>
      </c>
      <c r="J79" s="12" t="n">
        <f aca="false">G79+H79+I79</f>
        <v>13.75</v>
      </c>
      <c r="K79" s="13" t="n">
        <f aca="false">IF(F79&gt;0,J79/F79,"")</f>
        <v>0.00687506875068751</v>
      </c>
      <c r="L79" s="11" t="s">
        <v>22</v>
      </c>
    </row>
    <row r="80" customFormat="false" ht="15" hidden="false" customHeight="false" outlineLevel="0" collapsed="false">
      <c r="A80" s="10" t="n">
        <v>46091.3442939815</v>
      </c>
      <c r="B80" s="11" t="s">
        <v>86</v>
      </c>
      <c r="C80" s="11" t="s">
        <v>20</v>
      </c>
      <c r="D80" s="11" t="s">
        <v>21</v>
      </c>
      <c r="E80" s="0" t="n">
        <v>0</v>
      </c>
      <c r="F80" s="12" t="n">
        <v>1999.96</v>
      </c>
      <c r="G80" s="12" t="n">
        <v>4.85</v>
      </c>
      <c r="H80" s="12" t="n">
        <v>-2</v>
      </c>
      <c r="I80" s="12" t="n">
        <v>0</v>
      </c>
      <c r="J80" s="12" t="n">
        <f aca="false">G80+H80+I80</f>
        <v>2.85</v>
      </c>
      <c r="K80" s="13" t="n">
        <f aca="false">IF(F80&gt;0,J80/F80,"")</f>
        <v>0.00142502850057001</v>
      </c>
      <c r="L80" s="11" t="s">
        <v>22</v>
      </c>
    </row>
    <row r="81" customFormat="false" ht="15" hidden="false" customHeight="false" outlineLevel="0" collapsed="false">
      <c r="A81" s="10" t="n">
        <v>46091.5167824074</v>
      </c>
      <c r="B81" s="11" t="s">
        <v>52</v>
      </c>
      <c r="C81" s="11" t="s">
        <v>20</v>
      </c>
      <c r="D81" s="11" t="s">
        <v>21</v>
      </c>
      <c r="E81" s="0" t="n">
        <v>1</v>
      </c>
      <c r="F81" s="12" t="n">
        <v>3899.99</v>
      </c>
      <c r="G81" s="12" t="n">
        <v>59.7</v>
      </c>
      <c r="H81" s="12" t="n">
        <v>-3.87</v>
      </c>
      <c r="I81" s="12" t="n">
        <v>-1.48</v>
      </c>
      <c r="J81" s="12" t="n">
        <f aca="false">G81+H81+I81</f>
        <v>54.35</v>
      </c>
      <c r="K81" s="13" t="n">
        <f aca="false">IF(F81&gt;0,J81/F81,"")</f>
        <v>0.0139359331690594</v>
      </c>
      <c r="L81" s="11" t="s">
        <v>29</v>
      </c>
    </row>
    <row r="82" customFormat="false" ht="15" hidden="false" customHeight="false" outlineLevel="0" collapsed="false">
      <c r="A82" s="10" t="n">
        <v>46091.547025463</v>
      </c>
      <c r="B82" s="11" t="s">
        <v>87</v>
      </c>
      <c r="C82" s="11" t="s">
        <v>20</v>
      </c>
      <c r="D82" s="11" t="s">
        <v>21</v>
      </c>
      <c r="E82" s="0" t="n">
        <v>0</v>
      </c>
      <c r="F82" s="12" t="n">
        <v>999.83</v>
      </c>
      <c r="G82" s="12" t="n">
        <v>-0.9</v>
      </c>
      <c r="H82" s="12" t="n">
        <v>-1</v>
      </c>
      <c r="I82" s="12" t="n">
        <v>0</v>
      </c>
      <c r="J82" s="12" t="n">
        <f aca="false">G82+H82+I82</f>
        <v>-1.9</v>
      </c>
      <c r="K82" s="13" t="n">
        <f aca="false">IF(F82&gt;0,J82/F82,"")</f>
        <v>-0.00190032305491934</v>
      </c>
      <c r="L82" s="11" t="s">
        <v>25</v>
      </c>
    </row>
    <row r="83" customFormat="false" ht="15" hidden="false" customHeight="false" outlineLevel="0" collapsed="false">
      <c r="A83" s="10" t="n">
        <v>46091.7729282407</v>
      </c>
      <c r="B83" s="11" t="s">
        <v>88</v>
      </c>
      <c r="C83" s="11" t="s">
        <v>20</v>
      </c>
      <c r="D83" s="11" t="s">
        <v>21</v>
      </c>
      <c r="E83" s="0" t="n">
        <v>0</v>
      </c>
      <c r="F83" s="12" t="n">
        <v>2999.46</v>
      </c>
      <c r="G83" s="12" t="n">
        <v>-45.04</v>
      </c>
      <c r="H83" s="12" t="n">
        <v>-3.02</v>
      </c>
      <c r="I83" s="12" t="n">
        <v>-2.87</v>
      </c>
      <c r="J83" s="12" t="n">
        <f aca="false">G83+H83+I83</f>
        <v>-50.93</v>
      </c>
      <c r="K83" s="13" t="n">
        <f aca="false">IF(F83&gt;0,J83/F83,"")</f>
        <v>-0.0169797230168097</v>
      </c>
      <c r="L83" s="11" t="s">
        <v>25</v>
      </c>
    </row>
    <row r="84" customFormat="false" ht="15" hidden="false" customHeight="false" outlineLevel="0" collapsed="false">
      <c r="A84" s="10" t="n">
        <v>46091.7873726852</v>
      </c>
      <c r="B84" s="11" t="s">
        <v>89</v>
      </c>
      <c r="C84" s="11" t="s">
        <v>20</v>
      </c>
      <c r="D84" s="11" t="s">
        <v>21</v>
      </c>
      <c r="E84" s="0" t="n">
        <v>0</v>
      </c>
      <c r="F84" s="12" t="n">
        <v>899.99</v>
      </c>
      <c r="G84" s="12" t="n">
        <v>9.07</v>
      </c>
      <c r="H84" s="12" t="n">
        <v>-0.9</v>
      </c>
      <c r="I84" s="12" t="n">
        <v>0</v>
      </c>
      <c r="J84" s="12" t="n">
        <f aca="false">G84+H84+I84</f>
        <v>8.17</v>
      </c>
      <c r="K84" s="13" t="n">
        <f aca="false">IF(F84&gt;0,J84/F84,"")</f>
        <v>0.00907787864309603</v>
      </c>
      <c r="L84" s="11" t="s">
        <v>22</v>
      </c>
    </row>
    <row r="85" customFormat="false" ht="15" hidden="false" customHeight="false" outlineLevel="0" collapsed="false">
      <c r="A85" s="10" t="n">
        <v>46092.642037037</v>
      </c>
      <c r="B85" s="11" t="s">
        <v>90</v>
      </c>
      <c r="C85" s="11" t="s">
        <v>20</v>
      </c>
      <c r="D85" s="11" t="s">
        <v>21</v>
      </c>
      <c r="E85" s="0" t="n">
        <v>0</v>
      </c>
      <c r="F85" s="12" t="n">
        <v>2999.99</v>
      </c>
      <c r="G85" s="12" t="n">
        <v>74.37</v>
      </c>
      <c r="H85" s="12" t="n">
        <v>-2.96</v>
      </c>
      <c r="I85" s="12" t="n">
        <v>0</v>
      </c>
      <c r="J85" s="12" t="n">
        <f aca="false">G85+H85+I85</f>
        <v>71.41</v>
      </c>
      <c r="K85" s="13" t="n">
        <f aca="false">IF(F85&gt;0,J85/F85,"")</f>
        <v>0.0238034126780423</v>
      </c>
      <c r="L85" s="11" t="s">
        <v>22</v>
      </c>
    </row>
    <row r="86" customFormat="false" ht="15" hidden="false" customHeight="false" outlineLevel="0" collapsed="false">
      <c r="A86" s="10" t="n">
        <v>46092.6493171296</v>
      </c>
      <c r="B86" s="11" t="s">
        <v>91</v>
      </c>
      <c r="C86" s="11" t="s">
        <v>20</v>
      </c>
      <c r="D86" s="11" t="s">
        <v>21</v>
      </c>
      <c r="E86" s="0" t="n">
        <v>0</v>
      </c>
      <c r="F86" s="12" t="n">
        <v>400</v>
      </c>
      <c r="G86" s="12" t="n">
        <v>10.08</v>
      </c>
      <c r="H86" s="12" t="n">
        <v>-0.39</v>
      </c>
      <c r="I86" s="12" t="n">
        <v>0</v>
      </c>
      <c r="J86" s="12" t="n">
        <f aca="false">G86+H86+I86</f>
        <v>9.69</v>
      </c>
      <c r="K86" s="13" t="n">
        <f aca="false">IF(F86&gt;0,J86/F86,"")</f>
        <v>0.024225</v>
      </c>
      <c r="L86" s="11" t="s">
        <v>22</v>
      </c>
    </row>
    <row r="87" customFormat="false" ht="15" hidden="false" customHeight="false" outlineLevel="0" collapsed="false">
      <c r="A87" s="10" t="n">
        <v>46092.6522916667</v>
      </c>
      <c r="B87" s="11" t="s">
        <v>92</v>
      </c>
      <c r="C87" s="11" t="s">
        <v>20</v>
      </c>
      <c r="D87" s="11" t="s">
        <v>21</v>
      </c>
      <c r="E87" s="0" t="n">
        <v>0</v>
      </c>
      <c r="F87" s="12" t="n">
        <v>400</v>
      </c>
      <c r="G87" s="12" t="n">
        <v>0.59</v>
      </c>
      <c r="H87" s="12" t="n">
        <v>-0.4</v>
      </c>
      <c r="I87" s="12" t="n">
        <v>0</v>
      </c>
      <c r="J87" s="12" t="n">
        <f aca="false">G87+H87+I87</f>
        <v>0.19</v>
      </c>
      <c r="K87" s="13" t="n">
        <f aca="false">IF(F87&gt;0,J87/F87,"")</f>
        <v>0.000475</v>
      </c>
      <c r="L87" s="11" t="s">
        <v>22</v>
      </c>
    </row>
    <row r="88" customFormat="false" ht="15" hidden="false" customHeight="false" outlineLevel="0" collapsed="false">
      <c r="A88" s="10" t="n">
        <v>46092.6595833333</v>
      </c>
      <c r="B88" s="11" t="s">
        <v>93</v>
      </c>
      <c r="C88" s="11" t="s">
        <v>20</v>
      </c>
      <c r="D88" s="11" t="s">
        <v>21</v>
      </c>
      <c r="E88" s="0" t="n">
        <v>0</v>
      </c>
      <c r="F88" s="12" t="n">
        <v>400</v>
      </c>
      <c r="G88" s="12" t="n">
        <v>14.94</v>
      </c>
      <c r="H88" s="12" t="n">
        <v>-0.39</v>
      </c>
      <c r="I88" s="12" t="n">
        <v>0</v>
      </c>
      <c r="J88" s="12" t="n">
        <f aca="false">G88+H88+I88</f>
        <v>14.55</v>
      </c>
      <c r="K88" s="13" t="n">
        <f aca="false">IF(F88&gt;0,J88/F88,"")</f>
        <v>0.036375</v>
      </c>
      <c r="L88" s="11" t="s">
        <v>22</v>
      </c>
    </row>
    <row r="89" customFormat="false" ht="15" hidden="false" customHeight="false" outlineLevel="0" collapsed="false">
      <c r="A89" s="10" t="n">
        <v>46092.6672685185</v>
      </c>
      <c r="B89" s="11" t="s">
        <v>94</v>
      </c>
      <c r="C89" s="11" t="s">
        <v>20</v>
      </c>
      <c r="D89" s="11" t="s">
        <v>21</v>
      </c>
      <c r="E89" s="0" t="n">
        <v>0</v>
      </c>
      <c r="F89" s="12" t="n">
        <v>1999.93</v>
      </c>
      <c r="G89" s="12" t="n">
        <v>-11.9</v>
      </c>
      <c r="H89" s="12" t="n">
        <v>-2.01</v>
      </c>
      <c r="I89" s="12" t="n">
        <v>0.1</v>
      </c>
      <c r="J89" s="12" t="n">
        <f aca="false">G89+H89+I89</f>
        <v>-13.81</v>
      </c>
      <c r="K89" s="13" t="n">
        <f aca="false">IF(F89&gt;0,J89/F89,"")</f>
        <v>-0.00690524168345892</v>
      </c>
      <c r="L89" s="11" t="s">
        <v>25</v>
      </c>
    </row>
    <row r="90" customFormat="false" ht="15" hidden="false" customHeight="false" outlineLevel="0" collapsed="false">
      <c r="A90" s="10" t="n">
        <v>46092.6856134259</v>
      </c>
      <c r="B90" s="11" t="s">
        <v>95</v>
      </c>
      <c r="C90" s="11" t="s">
        <v>20</v>
      </c>
      <c r="D90" s="11" t="s">
        <v>21</v>
      </c>
      <c r="E90" s="0" t="n">
        <v>0</v>
      </c>
      <c r="F90" s="12" t="n">
        <v>2999.98</v>
      </c>
      <c r="G90" s="12" t="n">
        <v>12.11</v>
      </c>
      <c r="H90" s="12" t="n">
        <v>-2.99</v>
      </c>
      <c r="I90" s="12" t="n">
        <v>0</v>
      </c>
      <c r="J90" s="12" t="n">
        <f aca="false">G90+H90+I90</f>
        <v>9.12</v>
      </c>
      <c r="K90" s="13" t="n">
        <f aca="false">IF(F90&gt;0,J90/F90,"")</f>
        <v>0.00304002026680178</v>
      </c>
      <c r="L90" s="11" t="s">
        <v>22</v>
      </c>
    </row>
    <row r="91" customFormat="false" ht="15" hidden="false" customHeight="false" outlineLevel="0" collapsed="false">
      <c r="A91" s="10" t="n">
        <v>46092.7</v>
      </c>
      <c r="B91" s="11" t="s">
        <v>96</v>
      </c>
      <c r="C91" s="11" t="s">
        <v>20</v>
      </c>
      <c r="D91" s="11" t="s">
        <v>21</v>
      </c>
      <c r="E91" s="0" t="n">
        <v>0</v>
      </c>
      <c r="F91" s="12" t="n">
        <v>2999.99</v>
      </c>
      <c r="G91" s="12" t="n">
        <v>104.95</v>
      </c>
      <c r="H91" s="12" t="n">
        <v>-2.95</v>
      </c>
      <c r="I91" s="12" t="n">
        <v>0</v>
      </c>
      <c r="J91" s="12" t="n">
        <f aca="false">G91+H91+I91</f>
        <v>102</v>
      </c>
      <c r="K91" s="13" t="n">
        <f aca="false">IF(F91&gt;0,J91/F91,"")</f>
        <v>0.0340001133337111</v>
      </c>
      <c r="L91" s="11" t="s">
        <v>22</v>
      </c>
    </row>
    <row r="92" customFormat="false" ht="15" hidden="false" customHeight="false" outlineLevel="0" collapsed="false">
      <c r="A92" s="10" t="n">
        <v>46092.7188078704</v>
      </c>
      <c r="B92" s="11" t="s">
        <v>96</v>
      </c>
      <c r="C92" s="11" t="s">
        <v>20</v>
      </c>
      <c r="D92" s="11" t="s">
        <v>21</v>
      </c>
      <c r="E92" s="0" t="n">
        <v>0</v>
      </c>
      <c r="F92" s="12" t="n">
        <v>2999.98</v>
      </c>
      <c r="G92" s="12" t="n">
        <v>48.39</v>
      </c>
      <c r="H92" s="12" t="n">
        <v>-2.08</v>
      </c>
      <c r="I92" s="12" t="n">
        <v>0</v>
      </c>
      <c r="J92" s="12" t="n">
        <f aca="false">G92+H92+I92</f>
        <v>46.31</v>
      </c>
      <c r="K92" s="13" t="n">
        <f aca="false">IF(F92&gt;0,J92/F92,"")</f>
        <v>0.0154367695784639</v>
      </c>
      <c r="L92" s="11" t="s">
        <v>22</v>
      </c>
    </row>
    <row r="93" customFormat="false" ht="15" hidden="false" customHeight="false" outlineLevel="0" collapsed="false">
      <c r="A93" s="10" t="n">
        <v>46092.7374652778</v>
      </c>
      <c r="B93" s="11" t="s">
        <v>94</v>
      </c>
      <c r="C93" s="11" t="s">
        <v>20</v>
      </c>
      <c r="D93" s="11" t="s">
        <v>21</v>
      </c>
      <c r="E93" s="0" t="n">
        <v>0</v>
      </c>
      <c r="F93" s="12" t="n">
        <v>2999.95</v>
      </c>
      <c r="G93" s="12" t="n">
        <v>1.05</v>
      </c>
      <c r="H93" s="12" t="n">
        <v>-3</v>
      </c>
      <c r="I93" s="12" t="n">
        <v>0</v>
      </c>
      <c r="J93" s="12" t="n">
        <f aca="false">G93+H93+I93</f>
        <v>-1.95</v>
      </c>
      <c r="K93" s="13" t="n">
        <f aca="false">IF(F93&gt;0,J93/F93,"")</f>
        <v>-0.000650010833513892</v>
      </c>
      <c r="L93" s="11" t="s">
        <v>25</v>
      </c>
    </row>
    <row r="94" customFormat="false" ht="15" hidden="false" customHeight="false" outlineLevel="0" collapsed="false">
      <c r="A94" s="10" t="n">
        <v>46092.745150463</v>
      </c>
      <c r="B94" s="11" t="s">
        <v>53</v>
      </c>
      <c r="C94" s="11" t="s">
        <v>20</v>
      </c>
      <c r="D94" s="11" t="s">
        <v>21</v>
      </c>
      <c r="E94" s="0" t="n">
        <v>0</v>
      </c>
      <c r="F94" s="12" t="n">
        <v>2999.98</v>
      </c>
      <c r="G94" s="12" t="n">
        <v>109.15</v>
      </c>
      <c r="H94" s="12" t="n">
        <v>-2.95</v>
      </c>
      <c r="I94" s="12" t="n">
        <v>0</v>
      </c>
      <c r="J94" s="12" t="n">
        <f aca="false">G94+H94+I94</f>
        <v>106.2</v>
      </c>
      <c r="K94" s="13" t="n">
        <f aca="false">IF(F94&gt;0,J94/F94,"")</f>
        <v>0.0354002360015734</v>
      </c>
      <c r="L94" s="11" t="s">
        <v>22</v>
      </c>
    </row>
    <row r="95" customFormat="false" ht="15" hidden="false" customHeight="false" outlineLevel="0" collapsed="false">
      <c r="A95" s="10" t="n">
        <v>46092.8458449074</v>
      </c>
      <c r="B95" s="11" t="s">
        <v>97</v>
      </c>
      <c r="C95" s="11" t="s">
        <v>20</v>
      </c>
      <c r="D95" s="11" t="s">
        <v>21</v>
      </c>
      <c r="E95" s="0" t="n">
        <v>0</v>
      </c>
      <c r="F95" s="12" t="n">
        <v>2000</v>
      </c>
      <c r="G95" s="12" t="n">
        <v>149.63</v>
      </c>
      <c r="H95" s="12" t="n">
        <v>-1.93</v>
      </c>
      <c r="I95" s="12" t="n">
        <v>0</v>
      </c>
      <c r="J95" s="12" t="n">
        <f aca="false">G95+H95+I95</f>
        <v>147.7</v>
      </c>
      <c r="K95" s="13" t="n">
        <f aca="false">IF(F95&gt;0,J95/F95,"")</f>
        <v>0.07385</v>
      </c>
      <c r="L95" s="11" t="s">
        <v>22</v>
      </c>
    </row>
    <row r="96" customFormat="false" ht="15" hidden="false" customHeight="false" outlineLevel="0" collapsed="false">
      <c r="A96" s="10" t="n">
        <v>46093.3219675926</v>
      </c>
      <c r="B96" s="11" t="s">
        <v>98</v>
      </c>
      <c r="C96" s="11" t="s">
        <v>20</v>
      </c>
      <c r="D96" s="11" t="s">
        <v>21</v>
      </c>
      <c r="E96" s="0" t="n">
        <v>0</v>
      </c>
      <c r="F96" s="12" t="n">
        <v>1999.94</v>
      </c>
      <c r="G96" s="12" t="n">
        <v>-29.39</v>
      </c>
      <c r="H96" s="12" t="n">
        <v>-2.01</v>
      </c>
      <c r="I96" s="12" t="n">
        <v>0</v>
      </c>
      <c r="J96" s="12" t="n">
        <f aca="false">G96+H96+I96</f>
        <v>-31.4</v>
      </c>
      <c r="K96" s="13" t="n">
        <f aca="false">IF(F96&gt;0,J96/F96,"")</f>
        <v>-0.0157004710141304</v>
      </c>
      <c r="L96" s="11" t="s">
        <v>25</v>
      </c>
    </row>
    <row r="97" customFormat="false" ht="15" hidden="false" customHeight="false" outlineLevel="0" collapsed="false">
      <c r="A97" s="10" t="n">
        <v>46093.3267361111</v>
      </c>
      <c r="B97" s="11" t="s">
        <v>98</v>
      </c>
      <c r="C97" s="11" t="s">
        <v>20</v>
      </c>
      <c r="D97" s="11" t="s">
        <v>21</v>
      </c>
      <c r="E97" s="0" t="n">
        <v>0</v>
      </c>
      <c r="F97" s="12" t="n">
        <v>2999.96</v>
      </c>
      <c r="G97" s="12" t="n">
        <v>32.04</v>
      </c>
      <c r="H97" s="12" t="n">
        <v>-2.98</v>
      </c>
      <c r="I97" s="12" t="n">
        <v>0</v>
      </c>
      <c r="J97" s="12" t="n">
        <f aca="false">G97+H97+I97</f>
        <v>29.06</v>
      </c>
      <c r="K97" s="13" t="n">
        <f aca="false">IF(F97&gt;0,J97/F97,"")</f>
        <v>0.00968679582394432</v>
      </c>
      <c r="L97" s="11" t="s">
        <v>22</v>
      </c>
    </row>
    <row r="98" customFormat="false" ht="15" hidden="false" customHeight="false" outlineLevel="0" collapsed="false">
      <c r="A98" s="10" t="n">
        <v>46093.3863310185</v>
      </c>
      <c r="B98" s="11" t="s">
        <v>99</v>
      </c>
      <c r="C98" s="11" t="s">
        <v>20</v>
      </c>
      <c r="D98" s="11" t="s">
        <v>21</v>
      </c>
      <c r="E98" s="0" t="n">
        <v>1</v>
      </c>
      <c r="F98" s="12" t="n">
        <v>2999.76</v>
      </c>
      <c r="G98" s="12" t="n">
        <v>-239.58</v>
      </c>
      <c r="H98" s="12" t="n">
        <v>-3.12</v>
      </c>
      <c r="I98" s="12" t="n">
        <v>0</v>
      </c>
      <c r="J98" s="12" t="n">
        <f aca="false">G98+H98+I98</f>
        <v>-242.7</v>
      </c>
      <c r="K98" s="13" t="n">
        <f aca="false">IF(F98&gt;0,J98/F98,"")</f>
        <v>-0.0809064725178014</v>
      </c>
      <c r="L98" s="11" t="s">
        <v>25</v>
      </c>
    </row>
    <row r="99" customFormat="false" ht="15" hidden="false" customHeight="false" outlineLevel="0" collapsed="false">
      <c r="A99" s="10" t="n">
        <v>46093.4463310185</v>
      </c>
      <c r="B99" s="11" t="s">
        <v>79</v>
      </c>
      <c r="C99" s="11" t="s">
        <v>20</v>
      </c>
      <c r="D99" s="11" t="s">
        <v>21</v>
      </c>
      <c r="E99" s="0" t="n">
        <v>0</v>
      </c>
      <c r="F99" s="12" t="n">
        <v>2999.83</v>
      </c>
      <c r="G99" s="12" t="n">
        <v>14.6</v>
      </c>
      <c r="H99" s="12" t="n">
        <v>-2.99</v>
      </c>
      <c r="I99" s="12" t="n">
        <v>0</v>
      </c>
      <c r="J99" s="12" t="n">
        <f aca="false">G99+H99+I99</f>
        <v>11.61</v>
      </c>
      <c r="K99" s="13" t="n">
        <f aca="false">IF(F99&gt;0,J99/F99,"")</f>
        <v>0.0038702193124277</v>
      </c>
      <c r="L99" s="11" t="s">
        <v>22</v>
      </c>
    </row>
    <row r="100" customFormat="false" ht="15" hidden="false" customHeight="false" outlineLevel="0" collapsed="false">
      <c r="A100" s="10" t="n">
        <v>46093.4604050926</v>
      </c>
      <c r="B100" s="11" t="s">
        <v>100</v>
      </c>
      <c r="C100" s="11" t="s">
        <v>20</v>
      </c>
      <c r="D100" s="11" t="s">
        <v>21</v>
      </c>
      <c r="E100" s="0" t="n">
        <v>1</v>
      </c>
      <c r="F100" s="12" t="n">
        <v>3010.37</v>
      </c>
      <c r="G100" s="12" t="n">
        <v>107.59</v>
      </c>
      <c r="H100" s="12" t="n">
        <v>-2.65</v>
      </c>
      <c r="I100" s="12" t="n">
        <v>0</v>
      </c>
      <c r="J100" s="12" t="n">
        <f aca="false">G100+H100+I100</f>
        <v>104.94</v>
      </c>
      <c r="K100" s="13" t="n">
        <f aca="false">IF(F100&gt;0,J100/F100,"")</f>
        <v>0.0348595023203128</v>
      </c>
      <c r="L100" s="11" t="s">
        <v>29</v>
      </c>
    </row>
    <row r="101" customFormat="false" ht="15" hidden="false" customHeight="false" outlineLevel="0" collapsed="false">
      <c r="A101" s="10" t="n">
        <v>46093.5821412037</v>
      </c>
      <c r="B101" s="11" t="s">
        <v>101</v>
      </c>
      <c r="C101" s="11" t="s">
        <v>20</v>
      </c>
      <c r="D101" s="11" t="s">
        <v>21</v>
      </c>
      <c r="E101" s="0" t="n">
        <v>0</v>
      </c>
      <c r="F101" s="12" t="n">
        <v>1999.99</v>
      </c>
      <c r="G101" s="12" t="n">
        <v>69.92</v>
      </c>
      <c r="H101" s="12" t="n">
        <v>-1.97</v>
      </c>
      <c r="I101" s="12" t="n">
        <v>0</v>
      </c>
      <c r="J101" s="12" t="n">
        <f aca="false">G101+H101+I101</f>
        <v>67.95</v>
      </c>
      <c r="K101" s="13" t="n">
        <f aca="false">IF(F101&gt;0,J101/F101,"")</f>
        <v>0.0339751698758494</v>
      </c>
      <c r="L101" s="11" t="s">
        <v>22</v>
      </c>
    </row>
    <row r="102" customFormat="false" ht="15" hidden="false" customHeight="false" outlineLevel="0" collapsed="false">
      <c r="A102" s="10" t="n">
        <v>46093.6417013889</v>
      </c>
      <c r="B102" s="11" t="s">
        <v>102</v>
      </c>
      <c r="C102" s="11" t="s">
        <v>20</v>
      </c>
      <c r="D102" s="11" t="s">
        <v>21</v>
      </c>
      <c r="E102" s="0" t="n">
        <v>1</v>
      </c>
      <c r="F102" s="12" t="n">
        <v>2999.95</v>
      </c>
      <c r="G102" s="12" t="n">
        <v>41.11</v>
      </c>
      <c r="H102" s="12" t="n">
        <v>-2.98</v>
      </c>
      <c r="I102" s="12" t="n">
        <v>0</v>
      </c>
      <c r="J102" s="12" t="n">
        <f aca="false">G102+H102+I102</f>
        <v>38.13</v>
      </c>
      <c r="K102" s="13" t="n">
        <f aca="false">IF(F102&gt;0,J102/F102,"")</f>
        <v>0.0127102118368639</v>
      </c>
      <c r="L102" s="11" t="s">
        <v>29</v>
      </c>
    </row>
    <row r="103" customFormat="false" ht="15" hidden="false" customHeight="false" outlineLevel="0" collapsed="false">
      <c r="A103" s="10" t="n">
        <v>46093.6567824074</v>
      </c>
      <c r="B103" s="11" t="s">
        <v>102</v>
      </c>
      <c r="C103" s="11" t="s">
        <v>20</v>
      </c>
      <c r="D103" s="11" t="s">
        <v>21</v>
      </c>
      <c r="E103" s="0" t="n">
        <v>0</v>
      </c>
      <c r="F103" s="12" t="n">
        <v>1999.98</v>
      </c>
      <c r="G103" s="12" t="n">
        <v>80.86</v>
      </c>
      <c r="H103" s="12" t="n">
        <v>-1.36</v>
      </c>
      <c r="I103" s="12" t="n">
        <v>0</v>
      </c>
      <c r="J103" s="12" t="n">
        <f aca="false">G103+H103+I103</f>
        <v>79.5</v>
      </c>
      <c r="K103" s="13" t="n">
        <f aca="false">IF(F103&gt;0,J103/F103,"")</f>
        <v>0.039750397503975</v>
      </c>
      <c r="L103" s="11" t="s">
        <v>22</v>
      </c>
    </row>
    <row r="104" customFormat="false" ht="15" hidden="false" customHeight="false" outlineLevel="0" collapsed="false">
      <c r="A104" s="10" t="n">
        <v>46093.6858449074</v>
      </c>
      <c r="B104" s="11" t="s">
        <v>103</v>
      </c>
      <c r="C104" s="11" t="s">
        <v>20</v>
      </c>
      <c r="D104" s="11" t="s">
        <v>21</v>
      </c>
      <c r="E104" s="0" t="n">
        <v>0</v>
      </c>
      <c r="F104" s="12" t="n">
        <v>1999.99</v>
      </c>
      <c r="G104" s="12" t="n">
        <v>3.03</v>
      </c>
      <c r="H104" s="12" t="n">
        <v>-2</v>
      </c>
      <c r="I104" s="12" t="n">
        <v>0</v>
      </c>
      <c r="J104" s="12" t="n">
        <f aca="false">G104+H104+I104</f>
        <v>1.03</v>
      </c>
      <c r="K104" s="13" t="n">
        <f aca="false">IF(F104&gt;0,J104/F104,"")</f>
        <v>0.000515002575012875</v>
      </c>
      <c r="L104" s="11" t="s">
        <v>22</v>
      </c>
    </row>
    <row r="105" customFormat="false" ht="15" hidden="false" customHeight="false" outlineLevel="0" collapsed="false">
      <c r="A105" s="10" t="n">
        <v>46093.8116087963</v>
      </c>
      <c r="B105" s="11" t="s">
        <v>104</v>
      </c>
      <c r="C105" s="11" t="s">
        <v>20</v>
      </c>
      <c r="D105" s="11" t="s">
        <v>21</v>
      </c>
      <c r="E105" s="0" t="n">
        <v>0</v>
      </c>
      <c r="F105" s="12" t="n">
        <v>1999.99</v>
      </c>
      <c r="G105" s="12" t="n">
        <v>9.34</v>
      </c>
      <c r="H105" s="12" t="n">
        <v>-2</v>
      </c>
      <c r="I105" s="12" t="n">
        <v>0</v>
      </c>
      <c r="J105" s="12" t="n">
        <f aca="false">G105+H105+I105</f>
        <v>7.34</v>
      </c>
      <c r="K105" s="13" t="n">
        <f aca="false">IF(F105&gt;0,J105/F105,"")</f>
        <v>0.00367001835009175</v>
      </c>
      <c r="L105" s="11" t="s">
        <v>22</v>
      </c>
    </row>
    <row r="106" customFormat="false" ht="15" hidden="false" customHeight="false" outlineLevel="0" collapsed="false">
      <c r="A106" s="10" t="n">
        <v>46094.6041435185</v>
      </c>
      <c r="B106" s="11" t="s">
        <v>105</v>
      </c>
      <c r="C106" s="11" t="s">
        <v>20</v>
      </c>
      <c r="D106" s="11" t="s">
        <v>21</v>
      </c>
      <c r="E106" s="0" t="n">
        <v>2</v>
      </c>
      <c r="F106" s="12" t="n">
        <v>3899.97</v>
      </c>
      <c r="G106" s="12" t="n">
        <v>-562.78</v>
      </c>
      <c r="H106" s="12" t="n">
        <v>-4.18</v>
      </c>
      <c r="I106" s="12" t="n">
        <v>-298.24</v>
      </c>
      <c r="J106" s="12" t="n">
        <f aca="false">G106+H106+I106</f>
        <v>-865.2</v>
      </c>
      <c r="K106" s="13" t="n">
        <f aca="false">IF(F106&gt;0,J106/F106,"")</f>
        <v>-0.221847860368157</v>
      </c>
      <c r="L106" s="11" t="s">
        <v>25</v>
      </c>
    </row>
    <row r="107" customFormat="false" ht="15" hidden="false" customHeight="false" outlineLevel="0" collapsed="false">
      <c r="A107" s="10" t="n">
        <v>46094.7152430556</v>
      </c>
      <c r="B107" s="11" t="s">
        <v>46</v>
      </c>
      <c r="C107" s="11" t="s">
        <v>20</v>
      </c>
      <c r="D107" s="11" t="s">
        <v>21</v>
      </c>
      <c r="E107" s="0" t="n">
        <v>0</v>
      </c>
      <c r="F107" s="12" t="n">
        <v>499.97</v>
      </c>
      <c r="G107" s="12" t="n">
        <v>2.28</v>
      </c>
      <c r="H107" s="12" t="n">
        <v>-0.5</v>
      </c>
      <c r="I107" s="12" t="n">
        <v>0</v>
      </c>
      <c r="J107" s="12" t="n">
        <f aca="false">G107+H107+I107</f>
        <v>1.78</v>
      </c>
      <c r="K107" s="13" t="n">
        <f aca="false">IF(F107&gt;0,J107/F107,"")</f>
        <v>0.00356021361281677</v>
      </c>
      <c r="L107" s="11" t="s">
        <v>22</v>
      </c>
    </row>
    <row r="108" customFormat="false" ht="15" hidden="false" customHeight="false" outlineLevel="0" collapsed="false">
      <c r="A108" s="10" t="n">
        <v>46094.7311458333</v>
      </c>
      <c r="B108" s="11" t="s">
        <v>106</v>
      </c>
      <c r="C108" s="11" t="s">
        <v>20</v>
      </c>
      <c r="D108" s="11" t="s">
        <v>21</v>
      </c>
      <c r="E108" s="0" t="n">
        <v>0</v>
      </c>
      <c r="F108" s="12" t="n">
        <v>899.99</v>
      </c>
      <c r="G108" s="12" t="n">
        <v>27.93</v>
      </c>
      <c r="H108" s="12" t="n">
        <v>-0.89</v>
      </c>
      <c r="I108" s="12" t="n">
        <v>0</v>
      </c>
      <c r="J108" s="12" t="n">
        <f aca="false">G108+H108+I108</f>
        <v>27.04</v>
      </c>
      <c r="K108" s="13" t="n">
        <f aca="false">IF(F108&gt;0,J108/F108,"")</f>
        <v>0.0300447782753142</v>
      </c>
      <c r="L108" s="11" t="s">
        <v>22</v>
      </c>
    </row>
    <row r="109" customFormat="false" ht="15" hidden="false" customHeight="false" outlineLevel="0" collapsed="false">
      <c r="A109" s="10" t="n">
        <v>46094.7379282407</v>
      </c>
      <c r="B109" s="11" t="s">
        <v>107</v>
      </c>
      <c r="C109" s="11" t="s">
        <v>20</v>
      </c>
      <c r="D109" s="11" t="s">
        <v>21</v>
      </c>
      <c r="E109" s="0" t="n">
        <v>0</v>
      </c>
      <c r="F109" s="12" t="n">
        <v>2999.86</v>
      </c>
      <c r="G109" s="12" t="n">
        <v>60.29</v>
      </c>
      <c r="H109" s="12" t="n">
        <v>-2.97</v>
      </c>
      <c r="I109" s="12" t="n">
        <v>0</v>
      </c>
      <c r="J109" s="12" t="n">
        <f aca="false">G109+H109+I109</f>
        <v>57.32</v>
      </c>
      <c r="K109" s="13" t="n">
        <f aca="false">IF(F109&gt;0,J109/F109,"")</f>
        <v>0.0191075583527231</v>
      </c>
      <c r="L109" s="11" t="s">
        <v>22</v>
      </c>
    </row>
    <row r="110" customFormat="false" ht="15" hidden="false" customHeight="false" outlineLevel="0" collapsed="false">
      <c r="A110" s="10" t="n">
        <v>46094.7394907407</v>
      </c>
      <c r="B110" s="11" t="s">
        <v>108</v>
      </c>
      <c r="C110" s="11" t="s">
        <v>20</v>
      </c>
      <c r="D110" s="11" t="s">
        <v>21</v>
      </c>
      <c r="E110" s="0" t="n">
        <v>0</v>
      </c>
      <c r="F110" s="12" t="n">
        <v>2999.99</v>
      </c>
      <c r="G110" s="12" t="n">
        <v>60.19</v>
      </c>
      <c r="H110" s="12" t="n">
        <v>-2.97</v>
      </c>
      <c r="I110" s="12" t="n">
        <v>0</v>
      </c>
      <c r="J110" s="12" t="n">
        <f aca="false">G110+H110+I110</f>
        <v>57.22</v>
      </c>
      <c r="K110" s="13" t="n">
        <f aca="false">IF(F110&gt;0,J110/F110,"")</f>
        <v>0.019073396911323</v>
      </c>
      <c r="L110" s="11" t="s">
        <v>22</v>
      </c>
    </row>
    <row r="111" customFormat="false" ht="15" hidden="false" customHeight="false" outlineLevel="0" collapsed="false">
      <c r="A111" s="10" t="n">
        <v>46095.3933101852</v>
      </c>
      <c r="B111" s="11" t="s">
        <v>92</v>
      </c>
      <c r="C111" s="11" t="s">
        <v>20</v>
      </c>
      <c r="D111" s="11" t="s">
        <v>21</v>
      </c>
      <c r="E111" s="0" t="n">
        <v>0</v>
      </c>
      <c r="F111" s="12" t="n">
        <v>3000</v>
      </c>
      <c r="G111" s="12" t="n">
        <v>-2.22</v>
      </c>
      <c r="H111" s="12" t="n">
        <v>-3</v>
      </c>
      <c r="I111" s="12" t="n">
        <v>0</v>
      </c>
      <c r="J111" s="12" t="n">
        <f aca="false">G111+H111+I111</f>
        <v>-5.22</v>
      </c>
      <c r="K111" s="13" t="n">
        <f aca="false">IF(F111&gt;0,J111/F111,"")</f>
        <v>-0.00174</v>
      </c>
      <c r="L111" s="11" t="s">
        <v>25</v>
      </c>
    </row>
    <row r="112" customFormat="false" ht="15" hidden="false" customHeight="false" outlineLevel="0" collapsed="false">
      <c r="A112" s="10" t="n">
        <v>46095.3942708333</v>
      </c>
      <c r="B112" s="11" t="s">
        <v>63</v>
      </c>
      <c r="C112" s="11" t="s">
        <v>20</v>
      </c>
      <c r="D112" s="11" t="s">
        <v>21</v>
      </c>
      <c r="E112" s="0" t="n">
        <v>0</v>
      </c>
      <c r="F112" s="12" t="n">
        <v>2999.97</v>
      </c>
      <c r="G112" s="12" t="n">
        <v>121.71</v>
      </c>
      <c r="H112" s="12" t="n">
        <v>-2.94</v>
      </c>
      <c r="I112" s="12" t="n">
        <v>0</v>
      </c>
      <c r="J112" s="12" t="n">
        <f aca="false">G112+H112+I112</f>
        <v>118.77</v>
      </c>
      <c r="K112" s="13" t="n">
        <f aca="false">IF(F112&gt;0,J112/F112,"")</f>
        <v>0.039590395903959</v>
      </c>
      <c r="L112" s="11" t="s">
        <v>22</v>
      </c>
    </row>
    <row r="113" customFormat="false" ht="15" hidden="false" customHeight="false" outlineLevel="0" collapsed="false">
      <c r="A113" s="10" t="n">
        <v>46095.4475231482</v>
      </c>
      <c r="B113" s="11" t="s">
        <v>109</v>
      </c>
      <c r="C113" s="11" t="s">
        <v>20</v>
      </c>
      <c r="D113" s="11" t="s">
        <v>21</v>
      </c>
      <c r="E113" s="0" t="n">
        <v>2</v>
      </c>
      <c r="F113" s="12" t="n">
        <v>7499.66</v>
      </c>
      <c r="G113" s="12" t="n">
        <v>133.93</v>
      </c>
      <c r="H113" s="12" t="n">
        <v>-7.43</v>
      </c>
      <c r="I113" s="12" t="n">
        <v>0</v>
      </c>
      <c r="J113" s="12" t="n">
        <f aca="false">G113+H113+I113</f>
        <v>126.5</v>
      </c>
      <c r="K113" s="13" t="n">
        <f aca="false">IF(F113&gt;0,J113/F113,"")</f>
        <v>0.0168674313235533</v>
      </c>
      <c r="L113" s="11" t="s">
        <v>61</v>
      </c>
    </row>
    <row r="114" customFormat="false" ht="15" hidden="false" customHeight="false" outlineLevel="0" collapsed="false">
      <c r="A114" s="10" t="n">
        <v>46095.5772222222</v>
      </c>
      <c r="B114" s="11" t="s">
        <v>110</v>
      </c>
      <c r="C114" s="11" t="s">
        <v>20</v>
      </c>
      <c r="D114" s="11" t="s">
        <v>21</v>
      </c>
      <c r="E114" s="0" t="n">
        <v>1</v>
      </c>
      <c r="F114" s="12" t="n">
        <v>5998.71</v>
      </c>
      <c r="G114" s="12" t="n">
        <v>93.59</v>
      </c>
      <c r="H114" s="12" t="n">
        <v>-5.95</v>
      </c>
      <c r="I114" s="12" t="n">
        <v>0</v>
      </c>
      <c r="J114" s="12" t="n">
        <f aca="false">G114+H114+I114</f>
        <v>87.64</v>
      </c>
      <c r="K114" s="13" t="n">
        <f aca="false">IF(F114&gt;0,J114/F114,"")</f>
        <v>0.0146098077753384</v>
      </c>
      <c r="L114" s="11" t="s">
        <v>29</v>
      </c>
    </row>
    <row r="115" customFormat="false" ht="15" hidden="false" customHeight="false" outlineLevel="0" collapsed="false">
      <c r="A115" s="10" t="n">
        <v>46095.5920486111</v>
      </c>
      <c r="B115" s="11" t="s">
        <v>109</v>
      </c>
      <c r="C115" s="11" t="s">
        <v>20</v>
      </c>
      <c r="D115" s="11" t="s">
        <v>21</v>
      </c>
      <c r="E115" s="0" t="n">
        <v>0</v>
      </c>
      <c r="F115" s="12" t="n">
        <v>2999.92</v>
      </c>
      <c r="G115" s="12" t="n">
        <v>103.72</v>
      </c>
      <c r="H115" s="12" t="n">
        <v>-2.95</v>
      </c>
      <c r="I115" s="12" t="n">
        <v>0</v>
      </c>
      <c r="J115" s="12" t="n">
        <f aca="false">G115+H115+I115</f>
        <v>100.77</v>
      </c>
      <c r="K115" s="13" t="n">
        <f aca="false">IF(F115&gt;0,J115/F115,"")</f>
        <v>0.0335908957572202</v>
      </c>
      <c r="L115" s="11" t="s">
        <v>22</v>
      </c>
    </row>
    <row r="116" customFormat="false" ht="15" hidden="false" customHeight="false" outlineLevel="0" collapsed="false">
      <c r="A116" s="10" t="n">
        <v>46095.5960763889</v>
      </c>
      <c r="B116" s="11" t="s">
        <v>111</v>
      </c>
      <c r="C116" s="11" t="s">
        <v>20</v>
      </c>
      <c r="D116" s="11" t="s">
        <v>21</v>
      </c>
      <c r="E116" s="0" t="n">
        <v>0</v>
      </c>
      <c r="F116" s="12" t="n">
        <v>3000</v>
      </c>
      <c r="G116" s="12" t="n">
        <v>51.16</v>
      </c>
      <c r="H116" s="12" t="n">
        <v>-2.97</v>
      </c>
      <c r="I116" s="12" t="n">
        <v>0</v>
      </c>
      <c r="J116" s="12" t="n">
        <f aca="false">G116+H116+I116</f>
        <v>48.19</v>
      </c>
      <c r="K116" s="13" t="n">
        <f aca="false">IF(F116&gt;0,J116/F116,"")</f>
        <v>0.0160633333333333</v>
      </c>
      <c r="L116" s="11" t="s">
        <v>22</v>
      </c>
    </row>
    <row r="117" customFormat="false" ht="15" hidden="false" customHeight="false" outlineLevel="0" collapsed="false">
      <c r="A117" s="10" t="n">
        <v>46096.508287037</v>
      </c>
      <c r="B117" s="11" t="s">
        <v>112</v>
      </c>
      <c r="C117" s="11" t="s">
        <v>20</v>
      </c>
      <c r="D117" s="11" t="s">
        <v>21</v>
      </c>
      <c r="E117" s="0" t="n">
        <v>0</v>
      </c>
      <c r="F117" s="12" t="n">
        <v>3000</v>
      </c>
      <c r="G117" s="12" t="n">
        <v>116.32</v>
      </c>
      <c r="H117" s="12" t="n">
        <v>-2.94</v>
      </c>
      <c r="I117" s="12" t="n">
        <v>0</v>
      </c>
      <c r="J117" s="12" t="n">
        <f aca="false">G117+H117+I117</f>
        <v>113.38</v>
      </c>
      <c r="K117" s="13" t="n">
        <f aca="false">IF(F117&gt;0,J117/F117,"")</f>
        <v>0.0377933333333333</v>
      </c>
      <c r="L117" s="11" t="s">
        <v>22</v>
      </c>
    </row>
    <row r="118" customFormat="false" ht="15" hidden="false" customHeight="false" outlineLevel="0" collapsed="false">
      <c r="A118" s="10" t="n">
        <v>46096.5189930556</v>
      </c>
      <c r="B118" s="11" t="s">
        <v>113</v>
      </c>
      <c r="C118" s="11" t="s">
        <v>20</v>
      </c>
      <c r="D118" s="11" t="s">
        <v>21</v>
      </c>
      <c r="E118" s="0" t="n">
        <v>1</v>
      </c>
      <c r="F118" s="12" t="n">
        <v>5999.88</v>
      </c>
      <c r="G118" s="12" t="n">
        <v>132</v>
      </c>
      <c r="H118" s="12" t="n">
        <v>-5.93</v>
      </c>
      <c r="I118" s="12" t="n">
        <v>0</v>
      </c>
      <c r="J118" s="12" t="n">
        <f aca="false">G118+H118+I118</f>
        <v>126.07</v>
      </c>
      <c r="K118" s="13" t="n">
        <f aca="false">IF(F118&gt;0,J118/F118,"")</f>
        <v>0.0210120869084048</v>
      </c>
      <c r="L118" s="11" t="s">
        <v>29</v>
      </c>
    </row>
    <row r="119" customFormat="false" ht="15" hidden="false" customHeight="false" outlineLevel="0" collapsed="false">
      <c r="A119" s="10" t="n">
        <v>46096.788912037</v>
      </c>
      <c r="B119" s="11" t="s">
        <v>114</v>
      </c>
      <c r="C119" s="11" t="s">
        <v>20</v>
      </c>
      <c r="D119" s="11" t="s">
        <v>21</v>
      </c>
      <c r="E119" s="0" t="n">
        <v>0</v>
      </c>
      <c r="F119" s="12" t="n">
        <v>2999.99</v>
      </c>
      <c r="G119" s="12" t="n">
        <v>121.48</v>
      </c>
      <c r="H119" s="12" t="n">
        <v>-2.94</v>
      </c>
      <c r="I119" s="12" t="n">
        <v>0</v>
      </c>
      <c r="J119" s="12" t="n">
        <f aca="false">G119+H119+I119</f>
        <v>118.54</v>
      </c>
      <c r="K119" s="13" t="n">
        <f aca="false">IF(F119&gt;0,J119/F119,"")</f>
        <v>0.0395134650448835</v>
      </c>
      <c r="L119" s="11" t="s">
        <v>22</v>
      </c>
    </row>
    <row r="120" customFormat="false" ht="15" hidden="false" customHeight="false" outlineLevel="0" collapsed="false">
      <c r="A120" s="10" t="n">
        <v>46096.8041203704</v>
      </c>
      <c r="B120" s="11" t="s">
        <v>115</v>
      </c>
      <c r="C120" s="11" t="s">
        <v>20</v>
      </c>
      <c r="D120" s="11" t="s">
        <v>21</v>
      </c>
      <c r="E120" s="0" t="n">
        <v>0</v>
      </c>
      <c r="F120" s="12" t="n">
        <v>2999.96</v>
      </c>
      <c r="G120" s="12" t="n">
        <v>12.1</v>
      </c>
      <c r="H120" s="12" t="n">
        <v>-2.99</v>
      </c>
      <c r="I120" s="12" t="n">
        <v>0</v>
      </c>
      <c r="J120" s="12" t="n">
        <f aca="false">G120+H120+I120</f>
        <v>9.11</v>
      </c>
      <c r="K120" s="13" t="n">
        <f aca="false">IF(F120&gt;0,J120/F120,"")</f>
        <v>0.00303670715609541</v>
      </c>
      <c r="L120" s="11" t="s">
        <v>22</v>
      </c>
    </row>
    <row r="121" customFormat="false" ht="15" hidden="false" customHeight="false" outlineLevel="0" collapsed="false">
      <c r="A121" s="10" t="n">
        <v>46097.1600115741</v>
      </c>
      <c r="B121" s="11" t="s">
        <v>116</v>
      </c>
      <c r="C121" s="11" t="s">
        <v>20</v>
      </c>
      <c r="D121" s="11" t="s">
        <v>21</v>
      </c>
      <c r="E121" s="0" t="n">
        <v>0</v>
      </c>
      <c r="F121" s="12" t="n">
        <v>2999.99</v>
      </c>
      <c r="G121" s="12" t="n">
        <v>64.14</v>
      </c>
      <c r="H121" s="12" t="n">
        <v>-2.97</v>
      </c>
      <c r="I121" s="12" t="n">
        <v>1.45</v>
      </c>
      <c r="J121" s="12" t="n">
        <f aca="false">G121+H121+I121</f>
        <v>62.62</v>
      </c>
      <c r="K121" s="13" t="n">
        <f aca="false">IF(F121&gt;0,J121/F121,"")</f>
        <v>0.020873402911343</v>
      </c>
      <c r="L121" s="11" t="s">
        <v>22</v>
      </c>
    </row>
    <row r="122" customFormat="false" ht="15" hidden="false" customHeight="false" outlineLevel="0" collapsed="false">
      <c r="A122" s="10" t="n">
        <v>46097.3415972222</v>
      </c>
      <c r="B122" s="11" t="s">
        <v>84</v>
      </c>
      <c r="C122" s="11" t="s">
        <v>20</v>
      </c>
      <c r="D122" s="11" t="s">
        <v>21</v>
      </c>
      <c r="E122" s="0" t="n">
        <v>0</v>
      </c>
      <c r="F122" s="12" t="n">
        <v>2999.95</v>
      </c>
      <c r="G122" s="12" t="n">
        <v>137.67</v>
      </c>
      <c r="H122" s="12" t="n">
        <v>-2.93</v>
      </c>
      <c r="I122" s="12" t="n">
        <v>0</v>
      </c>
      <c r="J122" s="12" t="n">
        <f aca="false">G122+H122+I122</f>
        <v>134.74</v>
      </c>
      <c r="K122" s="13" t="n">
        <f aca="false">IF(F122&gt;0,J122/F122,"")</f>
        <v>0.044914081901365</v>
      </c>
      <c r="L122" s="11" t="s">
        <v>22</v>
      </c>
    </row>
    <row r="123" customFormat="false" ht="15" hidden="false" customHeight="false" outlineLevel="0" collapsed="false">
      <c r="A123" s="10" t="n">
        <v>46097.3791898148</v>
      </c>
      <c r="B123" s="11" t="s">
        <v>84</v>
      </c>
      <c r="C123" s="11" t="s">
        <v>20</v>
      </c>
      <c r="D123" s="11" t="s">
        <v>21</v>
      </c>
      <c r="E123" s="0" t="n">
        <v>0</v>
      </c>
      <c r="F123" s="12" t="n">
        <v>2999.98</v>
      </c>
      <c r="G123" s="12" t="n">
        <v>203.48</v>
      </c>
      <c r="H123" s="12" t="n">
        <v>-2.9</v>
      </c>
      <c r="I123" s="12" t="n">
        <v>0</v>
      </c>
      <c r="J123" s="12" t="n">
        <f aca="false">G123+H123+I123</f>
        <v>200.58</v>
      </c>
      <c r="K123" s="13" t="n">
        <f aca="false">IF(F123&gt;0,J123/F123,"")</f>
        <v>0.0668604457363049</v>
      </c>
      <c r="L123" s="11" t="s">
        <v>22</v>
      </c>
    </row>
    <row r="124" customFormat="false" ht="15" hidden="false" customHeight="false" outlineLevel="0" collapsed="false">
      <c r="A124" s="10" t="n">
        <v>46097.4785185185</v>
      </c>
      <c r="B124" s="11" t="s">
        <v>117</v>
      </c>
      <c r="C124" s="11" t="s">
        <v>20</v>
      </c>
      <c r="D124" s="11" t="s">
        <v>21</v>
      </c>
      <c r="E124" s="0" t="n">
        <v>0</v>
      </c>
      <c r="F124" s="12" t="n">
        <v>2999.99</v>
      </c>
      <c r="G124" s="12" t="n">
        <v>121.58</v>
      </c>
      <c r="H124" s="12" t="n">
        <v>-2.94</v>
      </c>
      <c r="I124" s="12" t="n">
        <v>0</v>
      </c>
      <c r="J124" s="12" t="n">
        <f aca="false">G124+H124+I124</f>
        <v>118.64</v>
      </c>
      <c r="K124" s="13" t="n">
        <f aca="false">IF(F124&gt;0,J124/F124,"")</f>
        <v>0.0395467984893283</v>
      </c>
      <c r="L124" s="11" t="s">
        <v>22</v>
      </c>
    </row>
    <row r="125" customFormat="false" ht="15" hidden="false" customHeight="false" outlineLevel="0" collapsed="false">
      <c r="A125" s="10" t="n">
        <v>46098.535</v>
      </c>
      <c r="B125" s="11" t="s">
        <v>118</v>
      </c>
      <c r="C125" s="11" t="s">
        <v>20</v>
      </c>
      <c r="D125" s="11" t="s">
        <v>21</v>
      </c>
      <c r="E125" s="0" t="n">
        <v>0</v>
      </c>
      <c r="F125" s="12" t="n">
        <v>3000</v>
      </c>
      <c r="G125" s="12" t="n">
        <v>113.02</v>
      </c>
      <c r="H125" s="12" t="n">
        <v>-2.94</v>
      </c>
      <c r="I125" s="12" t="n">
        <v>0</v>
      </c>
      <c r="J125" s="12" t="n">
        <f aca="false">G125+H125+I125</f>
        <v>110.08</v>
      </c>
      <c r="K125" s="13" t="n">
        <f aca="false">IF(F125&gt;0,J125/F125,"")</f>
        <v>0.0366933333333333</v>
      </c>
      <c r="L125" s="11" t="s">
        <v>22</v>
      </c>
    </row>
    <row r="126" customFormat="false" ht="15" hidden="false" customHeight="false" outlineLevel="0" collapsed="false">
      <c r="A126" s="10" t="n">
        <v>46098.8122337963</v>
      </c>
      <c r="B126" s="11" t="s">
        <v>119</v>
      </c>
      <c r="C126" s="11" t="s">
        <v>20</v>
      </c>
      <c r="D126" s="11" t="s">
        <v>21</v>
      </c>
      <c r="E126" s="0" t="n">
        <v>0</v>
      </c>
      <c r="F126" s="12" t="n">
        <v>3000</v>
      </c>
      <c r="G126" s="12" t="n">
        <v>105.45</v>
      </c>
      <c r="H126" s="12" t="n">
        <v>-2.95</v>
      </c>
      <c r="I126" s="12" t="n">
        <v>0</v>
      </c>
      <c r="J126" s="12" t="n">
        <f aca="false">G126+H126+I126</f>
        <v>102.5</v>
      </c>
      <c r="K126" s="13" t="n">
        <f aca="false">IF(F126&gt;0,J126/F126,"")</f>
        <v>0.0341666666666667</v>
      </c>
      <c r="L126" s="11" t="s">
        <v>22</v>
      </c>
    </row>
    <row r="127" customFormat="false" ht="15" hidden="false" customHeight="false" outlineLevel="0" collapsed="false">
      <c r="A127" s="10" t="n">
        <v>46098.84</v>
      </c>
      <c r="B127" s="11" t="s">
        <v>120</v>
      </c>
      <c r="C127" s="11" t="s">
        <v>20</v>
      </c>
      <c r="D127" s="11" t="s">
        <v>21</v>
      </c>
      <c r="E127" s="0" t="n">
        <v>0</v>
      </c>
      <c r="F127" s="12" t="n">
        <v>3000</v>
      </c>
      <c r="G127" s="12" t="n">
        <v>91.15</v>
      </c>
      <c r="H127" s="12" t="n">
        <v>-2.95</v>
      </c>
      <c r="I127" s="12" t="n">
        <v>0</v>
      </c>
      <c r="J127" s="12" t="n">
        <f aca="false">G127+H127+I127</f>
        <v>88.2</v>
      </c>
      <c r="K127" s="13" t="n">
        <f aca="false">IF(F127&gt;0,J127/F127,"")</f>
        <v>0.0294</v>
      </c>
      <c r="L127" s="11" t="s">
        <v>22</v>
      </c>
    </row>
    <row r="128" customFormat="false" ht="15" hidden="false" customHeight="false" outlineLevel="0" collapsed="false">
      <c r="A128" s="10" t="n">
        <v>46098.8602777778</v>
      </c>
      <c r="B128" s="11" t="s">
        <v>121</v>
      </c>
      <c r="C128" s="11" t="s">
        <v>20</v>
      </c>
      <c r="D128" s="11" t="s">
        <v>21</v>
      </c>
      <c r="E128" s="0" t="n">
        <v>0</v>
      </c>
      <c r="F128" s="12" t="n">
        <v>2999.99</v>
      </c>
      <c r="G128" s="12" t="n">
        <v>33.9</v>
      </c>
      <c r="H128" s="12" t="n">
        <v>-2.98</v>
      </c>
      <c r="I128" s="12" t="n">
        <v>0</v>
      </c>
      <c r="J128" s="12" t="n">
        <f aca="false">G128+H128+I128</f>
        <v>30.92</v>
      </c>
      <c r="K128" s="13" t="n">
        <f aca="false">IF(F128&gt;0,J128/F128,"")</f>
        <v>0.0103067010223367</v>
      </c>
      <c r="L128" s="11" t="s">
        <v>22</v>
      </c>
    </row>
    <row r="129" customFormat="false" ht="15" hidden="false" customHeight="false" outlineLevel="0" collapsed="false">
      <c r="A129" s="10" t="n">
        <v>46099.4247222222</v>
      </c>
      <c r="B129" s="11" t="s">
        <v>122</v>
      </c>
      <c r="C129" s="11" t="s">
        <v>20</v>
      </c>
      <c r="D129" s="11" t="s">
        <v>21</v>
      </c>
      <c r="E129" s="0" t="n">
        <v>0</v>
      </c>
      <c r="F129" s="12" t="n">
        <v>3000</v>
      </c>
      <c r="G129" s="12" t="n">
        <v>132.92</v>
      </c>
      <c r="H129" s="12" t="n">
        <v>-2.93</v>
      </c>
      <c r="I129" s="12" t="n">
        <v>0</v>
      </c>
      <c r="J129" s="12" t="n">
        <f aca="false">G129+H129+I129</f>
        <v>129.99</v>
      </c>
      <c r="K129" s="13" t="n">
        <f aca="false">IF(F129&gt;0,J129/F129,"")</f>
        <v>0.04333</v>
      </c>
      <c r="L129" s="11" t="s">
        <v>22</v>
      </c>
    </row>
    <row r="130" customFormat="false" ht="15" hidden="false" customHeight="false" outlineLevel="0" collapsed="false">
      <c r="A130" s="10" t="n">
        <v>46101.3345601852</v>
      </c>
      <c r="B130" s="11" t="s">
        <v>123</v>
      </c>
      <c r="C130" s="11" t="s">
        <v>20</v>
      </c>
      <c r="D130" s="11" t="s">
        <v>21</v>
      </c>
      <c r="E130" s="0" t="n">
        <v>0</v>
      </c>
      <c r="F130" s="12" t="n">
        <v>3000</v>
      </c>
      <c r="G130" s="12" t="n">
        <v>-9.68</v>
      </c>
      <c r="H130" s="12" t="n">
        <v>-3</v>
      </c>
      <c r="I130" s="12" t="n">
        <v>0</v>
      </c>
      <c r="J130" s="12" t="n">
        <f aca="false">G130+H130+I130</f>
        <v>-12.68</v>
      </c>
      <c r="K130" s="13" t="n">
        <f aca="false">IF(F130&gt;0,J130/F130,"")</f>
        <v>-0.00422666666666667</v>
      </c>
      <c r="L130" s="11" t="s">
        <v>25</v>
      </c>
    </row>
    <row r="131" customFormat="false" ht="15" hidden="false" customHeight="false" outlineLevel="0" collapsed="false">
      <c r="A131" s="10" t="n">
        <v>46101.6726041667</v>
      </c>
      <c r="B131" s="11" t="s">
        <v>124</v>
      </c>
      <c r="C131" s="11" t="s">
        <v>20</v>
      </c>
      <c r="D131" s="11" t="s">
        <v>21</v>
      </c>
      <c r="E131" s="0" t="n">
        <v>1</v>
      </c>
      <c r="F131" s="12" t="n">
        <v>5999.76</v>
      </c>
      <c r="G131" s="12" t="n">
        <v>334.98</v>
      </c>
      <c r="H131" s="12" t="n">
        <v>-5.83</v>
      </c>
      <c r="I131" s="12" t="n">
        <v>0.31</v>
      </c>
      <c r="J131" s="12" t="n">
        <f aca="false">G131+H131+I131</f>
        <v>329.46</v>
      </c>
      <c r="K131" s="13" t="n">
        <f aca="false">IF(F131&gt;0,J131/F131,"")</f>
        <v>0.0549121964878595</v>
      </c>
      <c r="L131" s="11" t="s">
        <v>29</v>
      </c>
    </row>
    <row r="132" customFormat="false" ht="15" hidden="false" customHeight="false" outlineLevel="0" collapsed="false">
      <c r="A132" s="10" t="n">
        <v>46101.7525347222</v>
      </c>
      <c r="B132" s="11" t="s">
        <v>125</v>
      </c>
      <c r="C132" s="11" t="s">
        <v>20</v>
      </c>
      <c r="D132" s="11" t="s">
        <v>21</v>
      </c>
      <c r="E132" s="0" t="n">
        <v>0</v>
      </c>
      <c r="F132" s="12" t="n">
        <v>3000</v>
      </c>
      <c r="G132" s="12" t="n">
        <v>70.49</v>
      </c>
      <c r="H132" s="12" t="n">
        <v>-2.96</v>
      </c>
      <c r="I132" s="12" t="n">
        <v>0</v>
      </c>
      <c r="J132" s="12" t="n">
        <f aca="false">G132+H132+I132</f>
        <v>67.53</v>
      </c>
      <c r="K132" s="13" t="n">
        <f aca="false">IF(F132&gt;0,J132/F132,"")</f>
        <v>0.02251</v>
      </c>
      <c r="L132" s="11" t="s">
        <v>22</v>
      </c>
    </row>
    <row r="133" customFormat="false" ht="15" hidden="false" customHeight="false" outlineLevel="0" collapsed="false">
      <c r="A133" s="10" t="n">
        <v>46101.8592476852</v>
      </c>
      <c r="B133" s="11" t="s">
        <v>122</v>
      </c>
      <c r="C133" s="11" t="s">
        <v>20</v>
      </c>
      <c r="D133" s="11" t="s">
        <v>21</v>
      </c>
      <c r="E133" s="0" t="n">
        <v>1</v>
      </c>
      <c r="F133" s="12" t="n">
        <v>6000</v>
      </c>
      <c r="G133" s="12" t="n">
        <v>155.84</v>
      </c>
      <c r="H133" s="12" t="n">
        <v>-5.92</v>
      </c>
      <c r="I133" s="12" t="n">
        <v>0.22</v>
      </c>
      <c r="J133" s="12" t="n">
        <f aca="false">G133+H133+I133</f>
        <v>150.14</v>
      </c>
      <c r="K133" s="13" t="n">
        <f aca="false">IF(F133&gt;0,J133/F133,"")</f>
        <v>0.0250233333333333</v>
      </c>
      <c r="L133" s="11" t="s">
        <v>29</v>
      </c>
    </row>
    <row r="134" customFormat="false" ht="15" hidden="false" customHeight="false" outlineLevel="0" collapsed="false">
      <c r="A134" s="10" t="n">
        <v>46102.0340856482</v>
      </c>
      <c r="B134" s="11" t="s">
        <v>43</v>
      </c>
      <c r="C134" s="11" t="s">
        <v>20</v>
      </c>
      <c r="D134" s="11" t="s">
        <v>21</v>
      </c>
      <c r="E134" s="0" t="n">
        <v>0</v>
      </c>
      <c r="F134" s="12" t="n">
        <v>2999.99</v>
      </c>
      <c r="G134" s="12" t="n">
        <v>131.13</v>
      </c>
      <c r="H134" s="12" t="n">
        <v>-2.93</v>
      </c>
      <c r="I134" s="12" t="n">
        <v>0.18</v>
      </c>
      <c r="J134" s="12" t="n">
        <f aca="false">G134+H134+I134</f>
        <v>128.38</v>
      </c>
      <c r="K134" s="13" t="n">
        <f aca="false">IF(F134&gt;0,J134/F134,"")</f>
        <v>0.0427934759782533</v>
      </c>
      <c r="L134" s="11" t="s">
        <v>22</v>
      </c>
    </row>
    <row r="135" customFormat="false" ht="15" hidden="false" customHeight="false" outlineLevel="0" collapsed="false">
      <c r="A135" s="10" t="n">
        <v>46102.0601388889</v>
      </c>
      <c r="B135" s="11" t="s">
        <v>126</v>
      </c>
      <c r="C135" s="11" t="s">
        <v>20</v>
      </c>
      <c r="D135" s="11" t="s">
        <v>21</v>
      </c>
      <c r="E135" s="0" t="n">
        <v>1</v>
      </c>
      <c r="F135" s="12" t="n">
        <v>5975.43</v>
      </c>
      <c r="G135" s="12" t="n">
        <v>186.42</v>
      </c>
      <c r="H135" s="12" t="n">
        <v>-4.99</v>
      </c>
      <c r="I135" s="12" t="n">
        <v>2.74</v>
      </c>
      <c r="J135" s="12" t="n">
        <f aca="false">G135+H135+I135</f>
        <v>184.17</v>
      </c>
      <c r="K135" s="13" t="n">
        <f aca="false">IF(F135&gt;0,J135/F135,"")</f>
        <v>0.0308212128666891</v>
      </c>
      <c r="L135" s="11" t="s">
        <v>29</v>
      </c>
    </row>
    <row r="136" customFormat="false" ht="15" hidden="false" customHeight="false" outlineLevel="0" collapsed="false">
      <c r="A136" s="10" t="n">
        <v>46102.4280324074</v>
      </c>
      <c r="B136" s="11" t="s">
        <v>71</v>
      </c>
      <c r="C136" s="11" t="s">
        <v>20</v>
      </c>
      <c r="D136" s="11" t="s">
        <v>21</v>
      </c>
      <c r="E136" s="0" t="n">
        <v>0</v>
      </c>
      <c r="F136" s="12" t="n">
        <v>3000</v>
      </c>
      <c r="G136" s="12" t="n">
        <v>90.47</v>
      </c>
      <c r="H136" s="12" t="n">
        <v>-2.95</v>
      </c>
      <c r="I136" s="12" t="n">
        <v>0</v>
      </c>
      <c r="J136" s="12" t="n">
        <f aca="false">G136+H136+I136</f>
        <v>87.52</v>
      </c>
      <c r="K136" s="13" t="n">
        <f aca="false">IF(F136&gt;0,J136/F136,"")</f>
        <v>0.0291733333333333</v>
      </c>
      <c r="L136" s="11" t="s">
        <v>22</v>
      </c>
    </row>
    <row r="137" customFormat="false" ht="15" hidden="false" customHeight="false" outlineLevel="0" collapsed="false">
      <c r="A137" s="10" t="n">
        <v>46102.4281828704</v>
      </c>
      <c r="B137" s="11" t="s">
        <v>127</v>
      </c>
      <c r="C137" s="11" t="s">
        <v>20</v>
      </c>
      <c r="D137" s="11" t="s">
        <v>21</v>
      </c>
      <c r="E137" s="0" t="n">
        <v>0</v>
      </c>
      <c r="F137" s="12" t="n">
        <v>3000</v>
      </c>
      <c r="G137" s="12" t="n">
        <v>69.97</v>
      </c>
      <c r="H137" s="12" t="n">
        <v>-2.97</v>
      </c>
      <c r="I137" s="12" t="n">
        <v>0</v>
      </c>
      <c r="J137" s="12" t="n">
        <f aca="false">G137+H137+I137</f>
        <v>67</v>
      </c>
      <c r="K137" s="13" t="n">
        <f aca="false">IF(F137&gt;0,J137/F137,"")</f>
        <v>0.0223333333333333</v>
      </c>
      <c r="L137" s="11" t="s">
        <v>22</v>
      </c>
    </row>
    <row r="138" customFormat="false" ht="15" hidden="false" customHeight="false" outlineLevel="0" collapsed="false">
      <c r="A138" s="10" t="n">
        <v>46102.4419560185</v>
      </c>
      <c r="B138" s="11" t="s">
        <v>128</v>
      </c>
      <c r="C138" s="11" t="s">
        <v>20</v>
      </c>
      <c r="D138" s="11" t="s">
        <v>21</v>
      </c>
      <c r="E138" s="0" t="n">
        <v>0</v>
      </c>
      <c r="F138" s="12" t="n">
        <v>2999.99</v>
      </c>
      <c r="G138" s="12" t="n">
        <v>121.41</v>
      </c>
      <c r="H138" s="12" t="n">
        <v>-2.94</v>
      </c>
      <c r="I138" s="12" t="n">
        <v>0</v>
      </c>
      <c r="J138" s="12" t="n">
        <f aca="false">G138+H138+I138</f>
        <v>118.47</v>
      </c>
      <c r="K138" s="13" t="n">
        <f aca="false">IF(F138&gt;0,J138/F138,"")</f>
        <v>0.0394901316337721</v>
      </c>
      <c r="L138" s="11" t="s">
        <v>22</v>
      </c>
    </row>
    <row r="139" customFormat="false" ht="15" hidden="false" customHeight="false" outlineLevel="0" collapsed="false">
      <c r="A139" s="10" t="n">
        <v>46102.4613773148</v>
      </c>
      <c r="B139" s="11" t="s">
        <v>111</v>
      </c>
      <c r="C139" s="11" t="s">
        <v>20</v>
      </c>
      <c r="D139" s="11" t="s">
        <v>21</v>
      </c>
      <c r="E139" s="0" t="n">
        <v>0</v>
      </c>
      <c r="F139" s="12" t="n">
        <v>3000</v>
      </c>
      <c r="G139" s="12" t="n">
        <v>54.38</v>
      </c>
      <c r="H139" s="12" t="n">
        <v>-2.97</v>
      </c>
      <c r="I139" s="12" t="n">
        <v>0</v>
      </c>
      <c r="J139" s="12" t="n">
        <f aca="false">G139+H139+I139</f>
        <v>51.41</v>
      </c>
      <c r="K139" s="13" t="n">
        <f aca="false">IF(F139&gt;0,J139/F139,"")</f>
        <v>0.0171366666666667</v>
      </c>
      <c r="L139" s="11" t="s">
        <v>22</v>
      </c>
    </row>
    <row r="140" customFormat="false" ht="15" hidden="false" customHeight="false" outlineLevel="0" collapsed="false">
      <c r="A140" s="10" t="n">
        <v>46102.5231365741</v>
      </c>
      <c r="B140" s="11" t="s">
        <v>129</v>
      </c>
      <c r="C140" s="11" t="s">
        <v>20</v>
      </c>
      <c r="D140" s="11" t="s">
        <v>21</v>
      </c>
      <c r="E140" s="0" t="n">
        <v>2</v>
      </c>
      <c r="F140" s="12" t="n">
        <v>8999.98</v>
      </c>
      <c r="G140" s="12" t="n">
        <v>109.36</v>
      </c>
      <c r="H140" s="12" t="n">
        <v>-8.95</v>
      </c>
      <c r="I140" s="12" t="n">
        <v>24.53</v>
      </c>
      <c r="J140" s="12" t="n">
        <f aca="false">G140+H140+I140</f>
        <v>124.94</v>
      </c>
      <c r="K140" s="13" t="n">
        <f aca="false">IF(F140&gt;0,J140/F140,"")</f>
        <v>0.0138822530716735</v>
      </c>
      <c r="L140" s="11" t="s">
        <v>61</v>
      </c>
    </row>
    <row r="141" customFormat="false" ht="15" hidden="false" customHeight="false" outlineLevel="0" collapsed="false">
      <c r="A141" s="10" t="n">
        <v>46102.56375</v>
      </c>
      <c r="B141" s="11" t="s">
        <v>35</v>
      </c>
      <c r="C141" s="11" t="s">
        <v>20</v>
      </c>
      <c r="D141" s="11" t="s">
        <v>21</v>
      </c>
      <c r="E141" s="0" t="n">
        <v>2</v>
      </c>
      <c r="F141" s="12" t="n">
        <v>11999.78</v>
      </c>
      <c r="G141" s="12" t="n">
        <v>607.47</v>
      </c>
      <c r="H141" s="12" t="n">
        <v>-11.7</v>
      </c>
      <c r="I141" s="12" t="n">
        <v>0</v>
      </c>
      <c r="J141" s="12" t="n">
        <f aca="false">G141+H141+I141</f>
        <v>595.77</v>
      </c>
      <c r="K141" s="13" t="n">
        <f aca="false">IF(F141&gt;0,J141/F141,"")</f>
        <v>0.0496484102208541</v>
      </c>
      <c r="L141" s="11" t="s">
        <v>61</v>
      </c>
    </row>
    <row r="142" customFormat="false" ht="15" hidden="false" customHeight="false" outlineLevel="0" collapsed="false">
      <c r="A142" s="10" t="n">
        <v>46102.6487615741</v>
      </c>
      <c r="B142" s="11" t="s">
        <v>120</v>
      </c>
      <c r="C142" s="11" t="s">
        <v>20</v>
      </c>
      <c r="D142" s="11" t="s">
        <v>21</v>
      </c>
      <c r="E142" s="0" t="n">
        <v>0</v>
      </c>
      <c r="F142" s="12" t="n">
        <v>6000</v>
      </c>
      <c r="G142" s="12" t="n">
        <v>123.26</v>
      </c>
      <c r="H142" s="12" t="n">
        <v>-5.94</v>
      </c>
      <c r="I142" s="12" t="n">
        <v>0</v>
      </c>
      <c r="J142" s="12" t="n">
        <f aca="false">G142+H142+I142</f>
        <v>117.32</v>
      </c>
      <c r="K142" s="13" t="n">
        <f aca="false">IF(F142&gt;0,J142/F142,"")</f>
        <v>0.0195533333333333</v>
      </c>
      <c r="L142" s="11" t="s">
        <v>22</v>
      </c>
    </row>
    <row r="143" customFormat="false" ht="15" hidden="false" customHeight="false" outlineLevel="0" collapsed="false">
      <c r="A143" s="10" t="n">
        <v>46102.6529976852</v>
      </c>
      <c r="B143" s="11" t="s">
        <v>130</v>
      </c>
      <c r="C143" s="11" t="s">
        <v>20</v>
      </c>
      <c r="D143" s="11" t="s">
        <v>21</v>
      </c>
      <c r="E143" s="0" t="n">
        <v>1</v>
      </c>
      <c r="F143" s="12" t="n">
        <v>5999.99</v>
      </c>
      <c r="G143" s="12" t="n">
        <v>-325.88</v>
      </c>
      <c r="H143" s="12" t="n">
        <v>-6.16</v>
      </c>
      <c r="I143" s="12" t="n">
        <v>0.24</v>
      </c>
      <c r="J143" s="12" t="n">
        <f aca="false">G143+H143+I143</f>
        <v>-331.8</v>
      </c>
      <c r="K143" s="13" t="n">
        <f aca="false">IF(F143&gt;0,J143/F143,"")</f>
        <v>-0.0553000921668203</v>
      </c>
      <c r="L143" s="11" t="s">
        <v>25</v>
      </c>
    </row>
    <row r="144" customFormat="false" ht="15" hidden="false" customHeight="false" outlineLevel="0" collapsed="false">
      <c r="A144" s="10" t="n">
        <v>46102.6698842593</v>
      </c>
      <c r="B144" s="11" t="s">
        <v>131</v>
      </c>
      <c r="C144" s="11" t="s">
        <v>20</v>
      </c>
      <c r="D144" s="11" t="s">
        <v>21</v>
      </c>
      <c r="E144" s="0" t="n">
        <v>0</v>
      </c>
      <c r="F144" s="12" t="n">
        <v>3000</v>
      </c>
      <c r="G144" s="12" t="n">
        <v>160.57</v>
      </c>
      <c r="H144" s="12" t="n">
        <v>-2.92</v>
      </c>
      <c r="I144" s="12" t="n">
        <v>2.7</v>
      </c>
      <c r="J144" s="12" t="n">
        <f aca="false">G144+H144+I144</f>
        <v>160.35</v>
      </c>
      <c r="K144" s="13" t="n">
        <f aca="false">IF(F144&gt;0,J144/F144,"")</f>
        <v>0.05345</v>
      </c>
      <c r="L144" s="11" t="s">
        <v>22</v>
      </c>
    </row>
    <row r="145" customFormat="false" ht="15" hidden="false" customHeight="false" outlineLevel="0" collapsed="false">
      <c r="A145" s="10" t="n">
        <v>46102.7605787037</v>
      </c>
      <c r="B145" s="11" t="s">
        <v>132</v>
      </c>
      <c r="C145" s="11" t="s">
        <v>20</v>
      </c>
      <c r="D145" s="11" t="s">
        <v>21</v>
      </c>
      <c r="E145" s="0" t="n">
        <v>0</v>
      </c>
      <c r="F145" s="12" t="n">
        <v>3000</v>
      </c>
      <c r="G145" s="12" t="n">
        <v>83.18</v>
      </c>
      <c r="H145" s="12" t="n">
        <v>-2.96</v>
      </c>
      <c r="I145" s="12" t="n">
        <v>0</v>
      </c>
      <c r="J145" s="12" t="n">
        <f aca="false">G145+H145+I145</f>
        <v>80.22</v>
      </c>
      <c r="K145" s="13" t="n">
        <f aca="false">IF(F145&gt;0,J145/F145,"")</f>
        <v>0.02674</v>
      </c>
      <c r="L145" s="11" t="s">
        <v>22</v>
      </c>
    </row>
    <row r="146" customFormat="false" ht="15" hidden="false" customHeight="false" outlineLevel="0" collapsed="false">
      <c r="A146" s="10" t="n">
        <v>46102.840462963</v>
      </c>
      <c r="B146" s="11" t="s">
        <v>133</v>
      </c>
      <c r="C146" s="11" t="s">
        <v>20</v>
      </c>
      <c r="D146" s="11" t="s">
        <v>21</v>
      </c>
      <c r="E146" s="0" t="n">
        <v>0</v>
      </c>
      <c r="F146" s="12" t="n">
        <v>2999.98</v>
      </c>
      <c r="G146" s="12" t="n">
        <v>48.64</v>
      </c>
      <c r="H146" s="12" t="n">
        <v>-2.98</v>
      </c>
      <c r="I146" s="12" t="n">
        <v>-6.29</v>
      </c>
      <c r="J146" s="12" t="n">
        <f aca="false">G146+H146+I146</f>
        <v>39.37</v>
      </c>
      <c r="K146" s="13" t="n">
        <f aca="false">IF(F146&gt;0,J146/F146,"")</f>
        <v>0.0131234208228055</v>
      </c>
      <c r="L146" s="11" t="s">
        <v>22</v>
      </c>
    </row>
    <row r="147" customFormat="false" ht="15" hidden="false" customHeight="false" outlineLevel="0" collapsed="false">
      <c r="A147" s="10" t="n">
        <v>46102.8759606482</v>
      </c>
      <c r="B147" s="11" t="s">
        <v>101</v>
      </c>
      <c r="C147" s="11" t="s">
        <v>20</v>
      </c>
      <c r="D147" s="11" t="s">
        <v>21</v>
      </c>
      <c r="E147" s="0" t="n">
        <v>0</v>
      </c>
      <c r="F147" s="12" t="n">
        <v>2999.99</v>
      </c>
      <c r="G147" s="12" t="n">
        <v>-88.23</v>
      </c>
      <c r="H147" s="12" t="n">
        <v>-2.14</v>
      </c>
      <c r="I147" s="12" t="n">
        <v>0.53</v>
      </c>
      <c r="J147" s="12" t="n">
        <f aca="false">G147+H147+I147</f>
        <v>-89.84</v>
      </c>
      <c r="K147" s="13" t="n">
        <f aca="false">IF(F147&gt;0,J147/F147,"")</f>
        <v>-0.0299467664892216</v>
      </c>
      <c r="L147" s="11" t="s">
        <v>25</v>
      </c>
    </row>
    <row r="148" customFormat="false" ht="15" hidden="false" customHeight="false" outlineLevel="0" collapsed="false">
      <c r="A148" s="10" t="n">
        <v>46102.9053703704</v>
      </c>
      <c r="B148" s="11" t="s">
        <v>134</v>
      </c>
      <c r="C148" s="11" t="s">
        <v>20</v>
      </c>
      <c r="D148" s="11" t="s">
        <v>21</v>
      </c>
      <c r="E148" s="0" t="n">
        <v>1</v>
      </c>
      <c r="F148" s="12" t="n">
        <v>5999.99</v>
      </c>
      <c r="G148" s="12" t="n">
        <v>-87.88</v>
      </c>
      <c r="H148" s="12" t="n">
        <v>-6.04</v>
      </c>
      <c r="I148" s="12" t="n">
        <v>-133.45</v>
      </c>
      <c r="J148" s="12" t="n">
        <f aca="false">G148+H148+I148</f>
        <v>-227.37</v>
      </c>
      <c r="K148" s="13" t="n">
        <f aca="false">IF(F148&gt;0,J148/F148,"")</f>
        <v>-0.0378950631584386</v>
      </c>
      <c r="L148" s="11" t="s">
        <v>25</v>
      </c>
    </row>
    <row r="149" customFormat="false" ht="15" hidden="false" customHeight="false" outlineLevel="0" collapsed="false">
      <c r="A149" s="10" t="n">
        <v>46102.9230787037</v>
      </c>
      <c r="B149" s="11" t="s">
        <v>135</v>
      </c>
      <c r="C149" s="11" t="s">
        <v>20</v>
      </c>
      <c r="D149" s="11" t="s">
        <v>21</v>
      </c>
      <c r="E149" s="0" t="n">
        <v>0</v>
      </c>
      <c r="F149" s="12" t="n">
        <v>3000</v>
      </c>
      <c r="G149" s="12" t="n">
        <v>-55.99</v>
      </c>
      <c r="H149" s="12" t="n">
        <v>-3.03</v>
      </c>
      <c r="I149" s="12" t="n">
        <v>0.38</v>
      </c>
      <c r="J149" s="12" t="n">
        <f aca="false">G149+H149+I149</f>
        <v>-58.64</v>
      </c>
      <c r="K149" s="13" t="n">
        <f aca="false">IF(F149&gt;0,J149/F149,"")</f>
        <v>-0.0195466666666667</v>
      </c>
      <c r="L149" s="11" t="s">
        <v>25</v>
      </c>
    </row>
    <row r="150" customFormat="false" ht="15" hidden="false" customHeight="false" outlineLevel="0" collapsed="false">
      <c r="A150" s="10" t="n">
        <v>46103.2188310185</v>
      </c>
      <c r="B150" s="11" t="s">
        <v>136</v>
      </c>
      <c r="C150" s="11" t="s">
        <v>20</v>
      </c>
      <c r="D150" s="11" t="s">
        <v>21</v>
      </c>
      <c r="E150" s="0" t="n">
        <v>3</v>
      </c>
      <c r="F150" s="12" t="n">
        <v>10499.71</v>
      </c>
      <c r="G150" s="12" t="n">
        <v>200.49</v>
      </c>
      <c r="H150" s="12" t="n">
        <v>-9.05</v>
      </c>
      <c r="I150" s="12" t="n">
        <v>10.57</v>
      </c>
      <c r="J150" s="12" t="n">
        <f aca="false">G150+H150+I150</f>
        <v>202.01</v>
      </c>
      <c r="K150" s="13" t="n">
        <f aca="false">IF(F150&gt;0,J150/F150,"")</f>
        <v>0.0192395789978961</v>
      </c>
      <c r="L150" s="11" t="s">
        <v>55</v>
      </c>
    </row>
    <row r="151" customFormat="false" ht="15" hidden="false" customHeight="false" outlineLevel="0" collapsed="false">
      <c r="A151" s="10" t="n">
        <v>46103.5823611111</v>
      </c>
      <c r="B151" s="11" t="s">
        <v>137</v>
      </c>
      <c r="C151" s="11" t="s">
        <v>20</v>
      </c>
      <c r="D151" s="11" t="s">
        <v>21</v>
      </c>
      <c r="E151" s="0" t="n">
        <v>4</v>
      </c>
      <c r="F151" s="12" t="n">
        <v>14999.79</v>
      </c>
      <c r="G151" s="12" t="n">
        <v>-216.65</v>
      </c>
      <c r="H151" s="12" t="n">
        <v>-13.31</v>
      </c>
      <c r="I151" s="12" t="n">
        <v>-32.85</v>
      </c>
      <c r="J151" s="12" t="n">
        <f aca="false">G151+H151+I151</f>
        <v>-262.81</v>
      </c>
      <c r="K151" s="13" t="n">
        <f aca="false">IF(F151&gt;0,J151/F151,"")</f>
        <v>-0.0175209119594341</v>
      </c>
      <c r="L151" s="11" t="s">
        <v>25</v>
      </c>
    </row>
    <row r="152" customFormat="false" ht="15" hidden="false" customHeight="false" outlineLevel="0" collapsed="false">
      <c r="A152" s="10" t="n">
        <v>46103.8056712963</v>
      </c>
      <c r="B152" s="11" t="s">
        <v>138</v>
      </c>
      <c r="C152" s="11" t="s">
        <v>20</v>
      </c>
      <c r="D152" s="11" t="s">
        <v>21</v>
      </c>
      <c r="E152" s="0" t="n">
        <v>2</v>
      </c>
      <c r="F152" s="12" t="n">
        <v>5999.89</v>
      </c>
      <c r="G152" s="12" t="n">
        <v>-1896.86</v>
      </c>
      <c r="H152" s="12" t="n">
        <v>-6.95</v>
      </c>
      <c r="I152" s="12" t="n">
        <v>52.53</v>
      </c>
      <c r="J152" s="12" t="n">
        <f aca="false">G152+H152+I152</f>
        <v>-1851.28</v>
      </c>
      <c r="K152" s="13" t="n">
        <f aca="false">IF(F152&gt;0,J152/F152,"")</f>
        <v>-0.308552323459263</v>
      </c>
      <c r="L152" s="11" t="s">
        <v>25</v>
      </c>
    </row>
    <row r="153" customFormat="false" ht="15" hidden="false" customHeight="false" outlineLevel="0" collapsed="false">
      <c r="A153" s="10" t="n">
        <v>46103.8413657407</v>
      </c>
      <c r="B153" s="11" t="s">
        <v>138</v>
      </c>
      <c r="C153" s="11" t="s">
        <v>20</v>
      </c>
      <c r="D153" s="11" t="s">
        <v>21</v>
      </c>
      <c r="E153" s="0" t="n">
        <v>0</v>
      </c>
      <c r="F153" s="12" t="n">
        <v>499.93</v>
      </c>
      <c r="G153" s="12" t="n">
        <v>-1.13</v>
      </c>
      <c r="H153" s="12" t="n">
        <v>-0.5</v>
      </c>
      <c r="I153" s="12" t="n">
        <v>0.04</v>
      </c>
      <c r="J153" s="12" t="n">
        <f aca="false">G153+H153+I153</f>
        <v>-1.59</v>
      </c>
      <c r="K153" s="13" t="n">
        <f aca="false">IF(F153&gt;0,J153/F153,"")</f>
        <v>-0.00318044526233673</v>
      </c>
      <c r="L153" s="11" t="s">
        <v>25</v>
      </c>
    </row>
    <row r="154" customFormat="false" ht="15" hidden="false" customHeight="false" outlineLevel="0" collapsed="false">
      <c r="A154" s="10" t="n">
        <v>46103.8454976852</v>
      </c>
      <c r="B154" s="11" t="s">
        <v>138</v>
      </c>
      <c r="C154" s="11" t="s">
        <v>20</v>
      </c>
      <c r="D154" s="11" t="s">
        <v>21</v>
      </c>
      <c r="E154" s="0" t="n">
        <v>0</v>
      </c>
      <c r="F154" s="12" t="n">
        <v>999.9</v>
      </c>
      <c r="G154" s="12" t="n">
        <v>-0.44</v>
      </c>
      <c r="H154" s="12" t="n">
        <v>-1</v>
      </c>
      <c r="I154" s="12" t="n">
        <v>0</v>
      </c>
      <c r="J154" s="12" t="n">
        <f aca="false">G154+H154+I154</f>
        <v>-1.44</v>
      </c>
      <c r="K154" s="13" t="n">
        <f aca="false">IF(F154&gt;0,J154/F154,"")</f>
        <v>-0.00144014401440144</v>
      </c>
      <c r="L154" s="11" t="s">
        <v>25</v>
      </c>
    </row>
    <row r="155" customFormat="false" ht="15" hidden="false" customHeight="false" outlineLevel="0" collapsed="false">
      <c r="A155" s="10" t="n">
        <v>46104.4980439815</v>
      </c>
      <c r="B155" s="11" t="s">
        <v>139</v>
      </c>
      <c r="C155" s="11" t="s">
        <v>20</v>
      </c>
      <c r="D155" s="11" t="s">
        <v>21</v>
      </c>
      <c r="E155" s="0" t="n">
        <v>0</v>
      </c>
      <c r="F155" s="12" t="n">
        <v>3099.99</v>
      </c>
      <c r="G155" s="12" t="n">
        <v>28.65</v>
      </c>
      <c r="H155" s="12" t="n">
        <v>-0.99</v>
      </c>
      <c r="I155" s="12" t="n">
        <v>0</v>
      </c>
      <c r="J155" s="12" t="n">
        <f aca="false">G155+H155+I155</f>
        <v>27.66</v>
      </c>
      <c r="K155" s="13" t="n">
        <f aca="false">IF(F155&gt;0,J155/F155,"")</f>
        <v>0.00892260942777235</v>
      </c>
      <c r="L155" s="11" t="s">
        <v>22</v>
      </c>
    </row>
    <row r="156" customFormat="false" ht="15" hidden="false" customHeight="false" outlineLevel="0" collapsed="false">
      <c r="A156" s="10" t="n">
        <v>46104.574212963</v>
      </c>
      <c r="B156" s="11" t="s">
        <v>137</v>
      </c>
      <c r="C156" s="11" t="s">
        <v>20</v>
      </c>
      <c r="D156" s="11" t="s">
        <v>21</v>
      </c>
      <c r="E156" s="0" t="n">
        <v>0</v>
      </c>
      <c r="F156" s="12" t="n">
        <v>2999.99</v>
      </c>
      <c r="G156" s="12" t="n">
        <v>91.72</v>
      </c>
      <c r="H156" s="12" t="n">
        <v>-2.95</v>
      </c>
      <c r="I156" s="12" t="n">
        <v>-0.83</v>
      </c>
      <c r="J156" s="12" t="n">
        <f aca="false">G156+H156+I156</f>
        <v>87.94</v>
      </c>
      <c r="K156" s="13" t="n">
        <f aca="false">IF(F156&gt;0,J156/F156,"")</f>
        <v>0.0293134310447702</v>
      </c>
      <c r="L156" s="11" t="s">
        <v>22</v>
      </c>
    </row>
    <row r="157" customFormat="false" ht="15" hidden="false" customHeight="false" outlineLevel="0" collapsed="false">
      <c r="A157" s="10" t="n">
        <v>46104.5779976852</v>
      </c>
      <c r="B157" s="11" t="s">
        <v>139</v>
      </c>
      <c r="C157" s="11" t="s">
        <v>20</v>
      </c>
      <c r="D157" s="11" t="s">
        <v>21</v>
      </c>
      <c r="E157" s="0" t="n">
        <v>0</v>
      </c>
      <c r="F157" s="12" t="n">
        <v>0</v>
      </c>
      <c r="G157" s="12" t="n">
        <v>-3.9</v>
      </c>
      <c r="H157" s="12" t="n">
        <v>-1.47</v>
      </c>
      <c r="I157" s="12" t="n">
        <v>0</v>
      </c>
      <c r="J157" s="12" t="n">
        <f aca="false">G157+H157+I157</f>
        <v>-5.37</v>
      </c>
      <c r="K157" s="13" t="str">
        <f aca="false">IF(F157&gt;0,J157/F157,"")</f>
        <v/>
      </c>
      <c r="L157" s="11" t="s">
        <v>25</v>
      </c>
    </row>
    <row r="158" customFormat="false" ht="15" hidden="false" customHeight="false" outlineLevel="0" collapsed="false">
      <c r="A158" s="10" t="n">
        <v>46104.5971759259</v>
      </c>
      <c r="B158" s="11" t="s">
        <v>140</v>
      </c>
      <c r="C158" s="11" t="s">
        <v>20</v>
      </c>
      <c r="D158" s="11" t="s">
        <v>141</v>
      </c>
      <c r="E158" s="0" t="n">
        <v>0</v>
      </c>
      <c r="F158" s="12" t="n">
        <v>5000</v>
      </c>
      <c r="G158" s="12" t="n">
        <v>-110.67</v>
      </c>
      <c r="H158" s="12" t="n">
        <v>-5.06</v>
      </c>
      <c r="I158" s="12" t="n">
        <v>0</v>
      </c>
      <c r="J158" s="12" t="n">
        <f aca="false">G158+H158+I158</f>
        <v>-115.73</v>
      </c>
      <c r="K158" s="13" t="n">
        <f aca="false">IF(F158&gt;0,J158/F158,"")</f>
        <v>-0.023146</v>
      </c>
      <c r="L158" s="11" t="s">
        <v>25</v>
      </c>
    </row>
    <row r="159" customFormat="false" ht="15" hidden="false" customHeight="false" outlineLevel="0" collapsed="false">
      <c r="A159" s="10" t="n">
        <v>46105.0465625</v>
      </c>
      <c r="B159" s="11" t="s">
        <v>142</v>
      </c>
      <c r="C159" s="11" t="s">
        <v>20</v>
      </c>
      <c r="D159" s="11" t="s">
        <v>21</v>
      </c>
      <c r="E159" s="0" t="n">
        <v>0</v>
      </c>
      <c r="F159" s="12" t="n">
        <v>2927.73</v>
      </c>
      <c r="G159" s="12" t="n">
        <v>31.92</v>
      </c>
      <c r="H159" s="12" t="n">
        <v>-2.91</v>
      </c>
      <c r="I159" s="12" t="n">
        <v>0.58</v>
      </c>
      <c r="J159" s="12" t="n">
        <f aca="false">G159+H159+I159</f>
        <v>29.59</v>
      </c>
      <c r="K159" s="13" t="n">
        <f aca="false">IF(F159&gt;0,J159/F159,"")</f>
        <v>0.0101068062970288</v>
      </c>
      <c r="L159" s="11" t="s">
        <v>22</v>
      </c>
    </row>
    <row r="160" customFormat="false" ht="15" hidden="false" customHeight="false" outlineLevel="0" collapsed="false">
      <c r="A160" s="10" t="n">
        <v>46105.0686805556</v>
      </c>
      <c r="B160" s="11" t="s">
        <v>123</v>
      </c>
      <c r="C160" s="11" t="s">
        <v>20</v>
      </c>
      <c r="D160" s="11" t="s">
        <v>21</v>
      </c>
      <c r="E160" s="0" t="n">
        <v>0</v>
      </c>
      <c r="F160" s="12" t="n">
        <v>2999.97</v>
      </c>
      <c r="G160" s="12" t="n">
        <v>51.06</v>
      </c>
      <c r="H160" s="12" t="n">
        <v>-2.97</v>
      </c>
      <c r="I160" s="12" t="n">
        <v>0.3</v>
      </c>
      <c r="J160" s="12" t="n">
        <f aca="false">G160+H160+I160</f>
        <v>48.39</v>
      </c>
      <c r="K160" s="13" t="n">
        <f aca="false">IF(F160&gt;0,J160/F160,"")</f>
        <v>0.016130161301613</v>
      </c>
      <c r="L160" s="11" t="s">
        <v>22</v>
      </c>
    </row>
    <row r="161" customFormat="false" ht="15" hidden="false" customHeight="false" outlineLevel="0" collapsed="false">
      <c r="A161" s="10" t="n">
        <v>46105.1766898148</v>
      </c>
      <c r="B161" s="11" t="s">
        <v>31</v>
      </c>
      <c r="C161" s="11" t="s">
        <v>20</v>
      </c>
      <c r="D161" s="11" t="s">
        <v>21</v>
      </c>
      <c r="E161" s="0" t="n">
        <v>0</v>
      </c>
      <c r="F161" s="12" t="n">
        <v>999.99</v>
      </c>
      <c r="G161" s="12" t="n">
        <v>51.75</v>
      </c>
      <c r="H161" s="12" t="n">
        <v>-0.97</v>
      </c>
      <c r="I161" s="12" t="n">
        <v>0.25</v>
      </c>
      <c r="J161" s="12" t="n">
        <f aca="false">G161+H161+I161</f>
        <v>51.03</v>
      </c>
      <c r="K161" s="13" t="n">
        <f aca="false">IF(F161&gt;0,J161/F161,"")</f>
        <v>0.0510305103051031</v>
      </c>
      <c r="L161" s="11" t="s">
        <v>22</v>
      </c>
    </row>
    <row r="162" customFormat="false" ht="15" hidden="false" customHeight="false" outlineLevel="0" collapsed="false">
      <c r="A162" s="10" t="n">
        <v>46105.3759837963</v>
      </c>
      <c r="B162" s="11" t="s">
        <v>133</v>
      </c>
      <c r="C162" s="11" t="s">
        <v>20</v>
      </c>
      <c r="D162" s="11" t="s">
        <v>21</v>
      </c>
      <c r="E162" s="0" t="n">
        <v>0</v>
      </c>
      <c r="F162" s="12" t="n">
        <v>2999.98</v>
      </c>
      <c r="G162" s="12" t="n">
        <v>105.98</v>
      </c>
      <c r="H162" s="12" t="n">
        <v>-2.95</v>
      </c>
      <c r="I162" s="12" t="n">
        <v>0</v>
      </c>
      <c r="J162" s="12" t="n">
        <f aca="false">G162+H162+I162</f>
        <v>103.03</v>
      </c>
      <c r="K162" s="13" t="n">
        <f aca="false">IF(F162&gt;0,J162/F162,"")</f>
        <v>0.0343435622904153</v>
      </c>
      <c r="L162" s="11" t="s">
        <v>22</v>
      </c>
    </row>
    <row r="163" customFormat="false" ht="15" hidden="false" customHeight="false" outlineLevel="0" collapsed="false">
      <c r="A163" s="10" t="n">
        <v>46105.4408564815</v>
      </c>
      <c r="B163" s="11" t="s">
        <v>143</v>
      </c>
      <c r="C163" s="11" t="s">
        <v>20</v>
      </c>
      <c r="D163" s="11" t="s">
        <v>21</v>
      </c>
      <c r="E163" s="0" t="n">
        <v>0</v>
      </c>
      <c r="F163" s="12" t="n">
        <v>2999.98</v>
      </c>
      <c r="G163" s="12" t="n">
        <v>2.97</v>
      </c>
      <c r="H163" s="12" t="n">
        <v>-2.1</v>
      </c>
      <c r="I163" s="12" t="n">
        <v>0</v>
      </c>
      <c r="J163" s="12" t="n">
        <f aca="false">G163+H163+I163</f>
        <v>0.87</v>
      </c>
      <c r="K163" s="13" t="n">
        <f aca="false">IF(F163&gt;0,J163/F163,"")</f>
        <v>0.000290001933346222</v>
      </c>
      <c r="L163" s="11" t="s">
        <v>22</v>
      </c>
    </row>
    <row r="164" customFormat="false" ht="15" hidden="false" customHeight="false" outlineLevel="0" collapsed="false">
      <c r="A164" s="10" t="n">
        <v>46105.4438425926</v>
      </c>
      <c r="B164" s="11" t="s">
        <v>144</v>
      </c>
      <c r="C164" s="11" t="s">
        <v>20</v>
      </c>
      <c r="D164" s="11" t="s">
        <v>21</v>
      </c>
      <c r="E164" s="0" t="n">
        <v>0</v>
      </c>
      <c r="F164" s="12" t="n">
        <v>4955.56</v>
      </c>
      <c r="G164" s="12" t="n">
        <v>-688.89</v>
      </c>
      <c r="H164" s="12" t="n">
        <v>-3.81</v>
      </c>
      <c r="I164" s="12" t="n">
        <v>0</v>
      </c>
      <c r="J164" s="12" t="n">
        <f aca="false">G164+H164+I164</f>
        <v>-692.7</v>
      </c>
      <c r="K164" s="13" t="n">
        <f aca="false">IF(F164&gt;0,J164/F164,"")</f>
        <v>-0.139782385845394</v>
      </c>
      <c r="L164" s="11" t="s">
        <v>25</v>
      </c>
    </row>
    <row r="165" customFormat="false" ht="15" hidden="false" customHeight="false" outlineLevel="0" collapsed="false">
      <c r="A165" s="10" t="n">
        <v>46105.549537037</v>
      </c>
      <c r="B165" s="11" t="s">
        <v>145</v>
      </c>
      <c r="C165" s="11" t="s">
        <v>20</v>
      </c>
      <c r="D165" s="11" t="s">
        <v>21</v>
      </c>
      <c r="E165" s="0" t="n">
        <v>0</v>
      </c>
      <c r="F165" s="12" t="n">
        <v>2999.95</v>
      </c>
      <c r="G165" s="12" t="n">
        <v>57.8</v>
      </c>
      <c r="H165" s="12" t="n">
        <v>-2.97</v>
      </c>
      <c r="I165" s="12" t="n">
        <v>0.12</v>
      </c>
      <c r="J165" s="12" t="n">
        <f aca="false">G165+H165+I165</f>
        <v>54.95</v>
      </c>
      <c r="K165" s="13" t="n">
        <f aca="false">IF(F165&gt;0,J165/F165,"")</f>
        <v>0.0183169719495325</v>
      </c>
      <c r="L165" s="11" t="s">
        <v>22</v>
      </c>
    </row>
    <row r="166" customFormat="false" ht="15" hidden="false" customHeight="false" outlineLevel="0" collapsed="false">
      <c r="A166" s="10" t="n">
        <v>46105.59</v>
      </c>
      <c r="B166" s="11" t="s">
        <v>133</v>
      </c>
      <c r="C166" s="11" t="s">
        <v>20</v>
      </c>
      <c r="D166" s="11" t="s">
        <v>21</v>
      </c>
      <c r="E166" s="0" t="n">
        <v>0</v>
      </c>
      <c r="F166" s="12" t="n">
        <v>2999.98</v>
      </c>
      <c r="G166" s="12" t="n">
        <v>-61.18</v>
      </c>
      <c r="H166" s="12" t="n">
        <v>-3.03</v>
      </c>
      <c r="I166" s="12" t="n">
        <v>0</v>
      </c>
      <c r="J166" s="12" t="n">
        <f aca="false">G166+H166+I166</f>
        <v>-64.21</v>
      </c>
      <c r="K166" s="13" t="n">
        <f aca="false">IF(F166&gt;0,J166/F166,"")</f>
        <v>-0.0214034760231735</v>
      </c>
      <c r="L166" s="11" t="s">
        <v>25</v>
      </c>
    </row>
    <row r="167" customFormat="false" ht="15" hidden="false" customHeight="false" outlineLevel="0" collapsed="false">
      <c r="A167" s="10" t="n">
        <v>46105.5918402778</v>
      </c>
      <c r="B167" s="11" t="s">
        <v>133</v>
      </c>
      <c r="C167" s="11" t="s">
        <v>20</v>
      </c>
      <c r="D167" s="11" t="s">
        <v>21</v>
      </c>
      <c r="E167" s="0" t="n">
        <v>0</v>
      </c>
      <c r="F167" s="12" t="n">
        <v>3000</v>
      </c>
      <c r="G167" s="12" t="n">
        <v>-108.38</v>
      </c>
      <c r="H167" s="12" t="n">
        <v>-3.05</v>
      </c>
      <c r="I167" s="12" t="n">
        <v>0</v>
      </c>
      <c r="J167" s="12" t="n">
        <f aca="false">G167+H167+I167</f>
        <v>-111.43</v>
      </c>
      <c r="K167" s="13" t="n">
        <f aca="false">IF(F167&gt;0,J167/F167,"")</f>
        <v>-0.0371433333333333</v>
      </c>
      <c r="L167" s="11" t="s">
        <v>25</v>
      </c>
    </row>
    <row r="168" customFormat="false" ht="15" hidden="false" customHeight="false" outlineLevel="0" collapsed="false">
      <c r="A168" s="10" t="n">
        <v>46105.5925694444</v>
      </c>
      <c r="B168" s="11" t="s">
        <v>146</v>
      </c>
      <c r="C168" s="11" t="s">
        <v>20</v>
      </c>
      <c r="D168" s="11" t="s">
        <v>21</v>
      </c>
      <c r="E168" s="0" t="n">
        <v>0</v>
      </c>
      <c r="F168" s="12" t="n">
        <v>3000</v>
      </c>
      <c r="G168" s="12" t="n">
        <v>53.78</v>
      </c>
      <c r="H168" s="12" t="n">
        <v>-2.97</v>
      </c>
      <c r="I168" s="12" t="n">
        <v>0.77</v>
      </c>
      <c r="J168" s="12" t="n">
        <f aca="false">G168+H168+I168</f>
        <v>51.58</v>
      </c>
      <c r="K168" s="13" t="n">
        <f aca="false">IF(F168&gt;0,J168/F168,"")</f>
        <v>0.0171933333333333</v>
      </c>
      <c r="L168" s="11" t="s">
        <v>22</v>
      </c>
    </row>
    <row r="169" customFormat="false" ht="15" hidden="false" customHeight="false" outlineLevel="0" collapsed="false">
      <c r="A169" s="10" t="n">
        <v>46105.5927546296</v>
      </c>
      <c r="B169" s="11" t="s">
        <v>140</v>
      </c>
      <c r="C169" s="11" t="s">
        <v>20</v>
      </c>
      <c r="D169" s="11" t="s">
        <v>21</v>
      </c>
      <c r="E169" s="0" t="n">
        <v>0</v>
      </c>
      <c r="F169" s="12" t="n">
        <v>2999.99</v>
      </c>
      <c r="G169" s="12" t="n">
        <v>56.97</v>
      </c>
      <c r="H169" s="12" t="n">
        <v>-2.97</v>
      </c>
      <c r="I169" s="12" t="n">
        <v>0.73</v>
      </c>
      <c r="J169" s="12" t="n">
        <f aca="false">G169+H169+I169</f>
        <v>54.73</v>
      </c>
      <c r="K169" s="13" t="n">
        <f aca="false">IF(F169&gt;0,J169/F169,"")</f>
        <v>0.0182433941446471</v>
      </c>
      <c r="L169" s="11" t="s">
        <v>22</v>
      </c>
    </row>
    <row r="170" customFormat="false" ht="15" hidden="false" customHeight="false" outlineLevel="0" collapsed="false">
      <c r="A170" s="10" t="n">
        <v>46105.596099537</v>
      </c>
      <c r="B170" s="11" t="s">
        <v>133</v>
      </c>
      <c r="C170" s="11" t="s">
        <v>20</v>
      </c>
      <c r="D170" s="11" t="s">
        <v>21</v>
      </c>
      <c r="E170" s="0" t="n">
        <v>0</v>
      </c>
      <c r="F170" s="12" t="n">
        <v>999.98</v>
      </c>
      <c r="G170" s="12" t="n">
        <v>44.78</v>
      </c>
      <c r="H170" s="12" t="n">
        <v>-0.98</v>
      </c>
      <c r="I170" s="12" t="n">
        <v>0</v>
      </c>
      <c r="J170" s="12" t="n">
        <f aca="false">G170+H170+I170</f>
        <v>43.8</v>
      </c>
      <c r="K170" s="13" t="n">
        <f aca="false">IF(F170&gt;0,J170/F170,"")</f>
        <v>0.0438008760175204</v>
      </c>
      <c r="L170" s="11" t="s">
        <v>22</v>
      </c>
    </row>
    <row r="171" customFormat="false" ht="15" hidden="false" customHeight="false" outlineLevel="0" collapsed="false">
      <c r="A171" s="10" t="n">
        <v>46105.6982638889</v>
      </c>
      <c r="B171" s="11" t="s">
        <v>147</v>
      </c>
      <c r="C171" s="11" t="s">
        <v>20</v>
      </c>
      <c r="D171" s="11" t="s">
        <v>21</v>
      </c>
      <c r="E171" s="0" t="n">
        <v>0</v>
      </c>
      <c r="F171" s="12" t="n">
        <v>2999.94</v>
      </c>
      <c r="G171" s="12" t="n">
        <v>12.89</v>
      </c>
      <c r="H171" s="12" t="n">
        <v>-2.99</v>
      </c>
      <c r="I171" s="12" t="n">
        <v>0.14</v>
      </c>
      <c r="J171" s="12" t="n">
        <f aca="false">G171+H171+I171</f>
        <v>10.04</v>
      </c>
      <c r="K171" s="13" t="n">
        <f aca="false">IF(F171&gt;0,J171/F171,"")</f>
        <v>0.00334673360133869</v>
      </c>
      <c r="L171" s="11" t="s">
        <v>22</v>
      </c>
    </row>
    <row r="172" customFormat="false" ht="15" hidden="false" customHeight="false" outlineLevel="0" collapsed="false">
      <c r="A172" s="10" t="n">
        <v>46105.9240277778</v>
      </c>
      <c r="B172" s="11" t="s">
        <v>148</v>
      </c>
      <c r="C172" s="11" t="s">
        <v>20</v>
      </c>
      <c r="D172" s="11" t="s">
        <v>21</v>
      </c>
      <c r="E172" s="0" t="n">
        <v>0</v>
      </c>
      <c r="F172" s="12" t="n">
        <v>3000</v>
      </c>
      <c r="G172" s="12" t="n">
        <v>-4.79</v>
      </c>
      <c r="H172" s="12" t="n">
        <v>-3</v>
      </c>
      <c r="I172" s="12" t="n">
        <v>1.04</v>
      </c>
      <c r="J172" s="12" t="n">
        <f aca="false">G172+H172+I172</f>
        <v>-6.75</v>
      </c>
      <c r="K172" s="13" t="n">
        <f aca="false">IF(F172&gt;0,J172/F172,"")</f>
        <v>-0.00225</v>
      </c>
      <c r="L172" s="11" t="s">
        <v>25</v>
      </c>
    </row>
    <row r="173" customFormat="false" ht="15" hidden="false" customHeight="false" outlineLevel="0" collapsed="false">
      <c r="A173" s="10" t="n">
        <v>46106.4441666667</v>
      </c>
      <c r="B173" s="11" t="s">
        <v>44</v>
      </c>
      <c r="C173" s="11" t="s">
        <v>20</v>
      </c>
      <c r="D173" s="11" t="s">
        <v>21</v>
      </c>
      <c r="E173" s="0" t="n">
        <v>0</v>
      </c>
      <c r="F173" s="12" t="n">
        <v>3000</v>
      </c>
      <c r="G173" s="12" t="n">
        <v>76.31</v>
      </c>
      <c r="H173" s="12" t="n">
        <v>-2.96</v>
      </c>
      <c r="I173" s="12" t="n">
        <v>0</v>
      </c>
      <c r="J173" s="12" t="n">
        <f aca="false">G173+H173+I173</f>
        <v>73.35</v>
      </c>
      <c r="K173" s="13" t="n">
        <f aca="false">IF(F173&gt;0,J173/F173,"")</f>
        <v>0.02445</v>
      </c>
      <c r="L173" s="11" t="s">
        <v>22</v>
      </c>
    </row>
    <row r="174" customFormat="false" ht="15" hidden="false" customHeight="false" outlineLevel="0" collapsed="false">
      <c r="A174" s="10" t="n">
        <v>46106.5153935185</v>
      </c>
      <c r="B174" s="11" t="s">
        <v>44</v>
      </c>
      <c r="C174" s="11" t="s">
        <v>20</v>
      </c>
      <c r="D174" s="11" t="s">
        <v>21</v>
      </c>
      <c r="E174" s="0" t="n">
        <v>0</v>
      </c>
      <c r="F174" s="12" t="n">
        <v>3000</v>
      </c>
      <c r="G174" s="12" t="n">
        <v>54.46</v>
      </c>
      <c r="H174" s="12" t="n">
        <v>-2.97</v>
      </c>
      <c r="I174" s="12" t="n">
        <v>0</v>
      </c>
      <c r="J174" s="12" t="n">
        <f aca="false">G174+H174+I174</f>
        <v>51.49</v>
      </c>
      <c r="K174" s="13" t="n">
        <f aca="false">IF(F174&gt;0,J174/F174,"")</f>
        <v>0.0171633333333333</v>
      </c>
      <c r="L174" s="11" t="s">
        <v>22</v>
      </c>
    </row>
    <row r="175" customFormat="false" ht="15" hidden="false" customHeight="false" outlineLevel="0" collapsed="false">
      <c r="A175" s="10" t="n">
        <v>46106.6023958333</v>
      </c>
      <c r="B175" s="11" t="s">
        <v>149</v>
      </c>
      <c r="C175" s="11" t="s">
        <v>20</v>
      </c>
      <c r="D175" s="11" t="s">
        <v>21</v>
      </c>
      <c r="E175" s="0" t="n">
        <v>0</v>
      </c>
      <c r="F175" s="12" t="n">
        <v>2999.99</v>
      </c>
      <c r="G175" s="12" t="n">
        <v>49.91</v>
      </c>
      <c r="H175" s="12" t="n">
        <v>-2.98</v>
      </c>
      <c r="I175" s="12" t="n">
        <v>0</v>
      </c>
      <c r="J175" s="12" t="n">
        <f aca="false">G175+H175+I175</f>
        <v>46.93</v>
      </c>
      <c r="K175" s="13" t="n">
        <f aca="false">IF(F175&gt;0,J175/F175,"")</f>
        <v>0.0156433854779516</v>
      </c>
      <c r="L175" s="11" t="s">
        <v>22</v>
      </c>
    </row>
    <row r="176" customFormat="false" ht="15" hidden="false" customHeight="false" outlineLevel="0" collapsed="false">
      <c r="A176" s="10" t="n">
        <v>46106.6673611111</v>
      </c>
      <c r="B176" s="11" t="s">
        <v>121</v>
      </c>
      <c r="C176" s="11" t="s">
        <v>20</v>
      </c>
      <c r="D176" s="11" t="s">
        <v>21</v>
      </c>
      <c r="E176" s="0" t="n">
        <v>0</v>
      </c>
      <c r="F176" s="12" t="n">
        <v>2999.99</v>
      </c>
      <c r="G176" s="12" t="n">
        <v>18.99</v>
      </c>
      <c r="H176" s="12" t="n">
        <v>-2.99</v>
      </c>
      <c r="I176" s="12" t="n">
        <v>0</v>
      </c>
      <c r="J176" s="12" t="n">
        <f aca="false">G176+H176+I176</f>
        <v>16</v>
      </c>
      <c r="K176" s="13" t="n">
        <f aca="false">IF(F176&gt;0,J176/F176,"")</f>
        <v>0.00533335111117037</v>
      </c>
      <c r="L176" s="11" t="s">
        <v>22</v>
      </c>
    </row>
    <row r="177" customFormat="false" ht="15" hidden="false" customHeight="false" outlineLevel="0" collapsed="false">
      <c r="A177" s="10" t="n">
        <v>46106.7921990741</v>
      </c>
      <c r="B177" s="11" t="s">
        <v>150</v>
      </c>
      <c r="C177" s="11" t="s">
        <v>20</v>
      </c>
      <c r="D177" s="11" t="s">
        <v>21</v>
      </c>
      <c r="E177" s="0" t="n">
        <v>0</v>
      </c>
      <c r="F177" s="12" t="n">
        <v>2999.99</v>
      </c>
      <c r="G177" s="12" t="n">
        <v>103.36</v>
      </c>
      <c r="H177" s="12" t="n">
        <v>-2.95</v>
      </c>
      <c r="I177" s="12" t="n">
        <v>0</v>
      </c>
      <c r="J177" s="12" t="n">
        <f aca="false">G177+H177+I177</f>
        <v>100.41</v>
      </c>
      <c r="K177" s="13" t="n">
        <f aca="false">IF(F177&gt;0,J177/F177,"")</f>
        <v>0.0334701115670386</v>
      </c>
      <c r="L177" s="11" t="s">
        <v>22</v>
      </c>
    </row>
    <row r="178" customFormat="false" ht="15" hidden="false" customHeight="false" outlineLevel="0" collapsed="false">
      <c r="A178" s="10" t="n">
        <v>46106.8039236111</v>
      </c>
      <c r="B178" s="11" t="s">
        <v>150</v>
      </c>
      <c r="C178" s="11" t="s">
        <v>20</v>
      </c>
      <c r="D178" s="11" t="s">
        <v>21</v>
      </c>
      <c r="E178" s="0" t="n">
        <v>0</v>
      </c>
      <c r="F178" s="12" t="n">
        <v>3000</v>
      </c>
      <c r="G178" s="12" t="n">
        <v>-47.63</v>
      </c>
      <c r="H178" s="12" t="n">
        <v>-3.02</v>
      </c>
      <c r="I178" s="12" t="n">
        <v>0</v>
      </c>
      <c r="J178" s="12" t="n">
        <f aca="false">G178+H178+I178</f>
        <v>-50.65</v>
      </c>
      <c r="K178" s="13" t="n">
        <f aca="false">IF(F178&gt;0,J178/F178,"")</f>
        <v>-0.0168833333333333</v>
      </c>
      <c r="L178" s="11" t="s">
        <v>25</v>
      </c>
    </row>
    <row r="179" customFormat="false" ht="15" hidden="false" customHeight="false" outlineLevel="0" collapsed="false">
      <c r="A179" s="10" t="n">
        <v>46107.3115856482</v>
      </c>
      <c r="B179" s="11" t="s">
        <v>151</v>
      </c>
      <c r="C179" s="11" t="s">
        <v>20</v>
      </c>
      <c r="D179" s="11" t="s">
        <v>21</v>
      </c>
      <c r="E179" s="0" t="n">
        <v>5</v>
      </c>
      <c r="F179" s="12" t="n">
        <v>7049.97</v>
      </c>
      <c r="G179" s="12" t="n">
        <v>-158.91</v>
      </c>
      <c r="H179" s="12" t="n">
        <v>-6.74</v>
      </c>
      <c r="I179" s="12" t="n">
        <v>-1016.21</v>
      </c>
      <c r="J179" s="12" t="n">
        <f aca="false">G179+H179+I179</f>
        <v>-1181.86</v>
      </c>
      <c r="K179" s="13" t="n">
        <f aca="false">IF(F179&gt;0,J179/F179,"")</f>
        <v>-0.167640429675587</v>
      </c>
      <c r="L179" s="11" t="s">
        <v>25</v>
      </c>
    </row>
    <row r="180" customFormat="false" ht="15" hidden="false" customHeight="false" outlineLevel="0" collapsed="false">
      <c r="A180" s="10" t="n">
        <v>46107.3631944444</v>
      </c>
      <c r="B180" s="11" t="s">
        <v>152</v>
      </c>
      <c r="C180" s="11" t="s">
        <v>20</v>
      </c>
      <c r="D180" s="11" t="s">
        <v>21</v>
      </c>
      <c r="E180" s="0" t="n">
        <v>1</v>
      </c>
      <c r="F180" s="12" t="n">
        <v>5999.91</v>
      </c>
      <c r="G180" s="12" t="n">
        <v>-5.61</v>
      </c>
      <c r="H180" s="12" t="n">
        <v>-6</v>
      </c>
      <c r="I180" s="12" t="n">
        <v>3.21</v>
      </c>
      <c r="J180" s="12" t="n">
        <f aca="false">G180+H180+I180</f>
        <v>-8.4</v>
      </c>
      <c r="K180" s="13" t="n">
        <f aca="false">IF(F180&gt;0,J180/F180,"")</f>
        <v>-0.001400021000315</v>
      </c>
      <c r="L180" s="11" t="s">
        <v>25</v>
      </c>
    </row>
    <row r="181" customFormat="false" ht="15" hidden="false" customHeight="false" outlineLevel="0" collapsed="false">
      <c r="A181" s="10" t="n">
        <v>46107.4427777778</v>
      </c>
      <c r="B181" s="11" t="s">
        <v>45</v>
      </c>
      <c r="C181" s="11" t="s">
        <v>20</v>
      </c>
      <c r="D181" s="11" t="s">
        <v>21</v>
      </c>
      <c r="E181" s="0" t="n">
        <v>1</v>
      </c>
      <c r="F181" s="12" t="n">
        <v>7999.8</v>
      </c>
      <c r="G181" s="12" t="n">
        <v>-31.86</v>
      </c>
      <c r="H181" s="12" t="n">
        <v>-8.02</v>
      </c>
      <c r="I181" s="12" t="n">
        <v>-3.93</v>
      </c>
      <c r="J181" s="12" t="n">
        <f aca="false">G181+H181+I181</f>
        <v>-43.81</v>
      </c>
      <c r="K181" s="13" t="n">
        <f aca="false">IF(F181&gt;0,J181/F181,"")</f>
        <v>-0.00547638690967274</v>
      </c>
      <c r="L181" s="11" t="s">
        <v>25</v>
      </c>
    </row>
    <row r="182" customFormat="false" ht="15" hidden="false" customHeight="false" outlineLevel="0" collapsed="false">
      <c r="A182" s="10" t="n">
        <v>46107.5878703704</v>
      </c>
      <c r="B182" s="11" t="s">
        <v>138</v>
      </c>
      <c r="C182" s="11" t="s">
        <v>20</v>
      </c>
      <c r="D182" s="11" t="s">
        <v>21</v>
      </c>
      <c r="E182" s="0" t="n">
        <v>0</v>
      </c>
      <c r="F182" s="12" t="n">
        <v>699.99</v>
      </c>
      <c r="G182" s="12" t="n">
        <v>-90.64</v>
      </c>
      <c r="H182" s="12" t="n">
        <v>-20.12</v>
      </c>
      <c r="I182" s="12" t="n">
        <v>2.09</v>
      </c>
      <c r="J182" s="12" t="n">
        <f aca="false">G182+H182+I182</f>
        <v>-108.67</v>
      </c>
      <c r="K182" s="13" t="n">
        <f aca="false">IF(F182&gt;0,J182/F182,"")</f>
        <v>-0.155245074929642</v>
      </c>
      <c r="L182" s="11" t="s">
        <v>153</v>
      </c>
    </row>
    <row r="183" customFormat="false" ht="15" hidden="false" customHeight="false" outlineLevel="0" collapsed="false">
      <c r="A183" s="10" t="n">
        <v>46107.6482175926</v>
      </c>
      <c r="B183" s="11" t="s">
        <v>154</v>
      </c>
      <c r="C183" s="11" t="s">
        <v>20</v>
      </c>
      <c r="D183" s="11" t="s">
        <v>21</v>
      </c>
      <c r="E183" s="0" t="n">
        <v>1</v>
      </c>
      <c r="F183" s="12" t="n">
        <v>3000</v>
      </c>
      <c r="G183" s="12" t="n">
        <v>13.8</v>
      </c>
      <c r="H183" s="12" t="n">
        <v>-2.99</v>
      </c>
      <c r="I183" s="12" t="n">
        <v>0</v>
      </c>
      <c r="J183" s="12" t="n">
        <f aca="false">G183+H183+I183</f>
        <v>10.81</v>
      </c>
      <c r="K183" s="13" t="n">
        <f aca="false">IF(F183&gt;0,J183/F183,"")</f>
        <v>0.00360333333333333</v>
      </c>
      <c r="L183" s="11" t="s">
        <v>29</v>
      </c>
    </row>
    <row r="184" customFormat="false" ht="15" hidden="false" customHeight="false" outlineLevel="0" collapsed="false">
      <c r="A184" s="10" t="n">
        <v>46108.3848263889</v>
      </c>
      <c r="B184" s="11" t="s">
        <v>45</v>
      </c>
      <c r="C184" s="11" t="s">
        <v>20</v>
      </c>
      <c r="D184" s="11" t="s">
        <v>21</v>
      </c>
      <c r="E184" s="0" t="n">
        <v>0</v>
      </c>
      <c r="F184" s="12" t="n">
        <v>999.85</v>
      </c>
      <c r="G184" s="12" t="n">
        <v>74.95</v>
      </c>
      <c r="H184" s="12" t="n">
        <v>-0.96</v>
      </c>
      <c r="I184" s="12" t="n">
        <v>-15.79</v>
      </c>
      <c r="J184" s="12" t="n">
        <f aca="false">G184+H184+I184</f>
        <v>58.2</v>
      </c>
      <c r="K184" s="13" t="n">
        <f aca="false">IF(F184&gt;0,J184/F184,"")</f>
        <v>0.0582087313096965</v>
      </c>
      <c r="L184" s="11" t="s">
        <v>22</v>
      </c>
    </row>
    <row r="185" customFormat="false" ht="15" hidden="false" customHeight="false" outlineLevel="0" collapsed="false">
      <c r="A185" s="10" t="n">
        <v>46108.4614930556</v>
      </c>
      <c r="B185" s="11" t="s">
        <v>155</v>
      </c>
      <c r="C185" s="11" t="s">
        <v>20</v>
      </c>
      <c r="D185" s="11" t="s">
        <v>21</v>
      </c>
      <c r="E185" s="0" t="n">
        <v>1</v>
      </c>
      <c r="F185" s="12" t="n">
        <v>6000</v>
      </c>
      <c r="G185" s="12" t="n">
        <v>-1836.44</v>
      </c>
      <c r="H185" s="12" t="n">
        <v>-198.01</v>
      </c>
      <c r="I185" s="12" t="n">
        <v>0</v>
      </c>
      <c r="J185" s="12" t="n">
        <f aca="false">G185+H185+I185</f>
        <v>-2034.45</v>
      </c>
      <c r="K185" s="13" t="n">
        <f aca="false">IF(F185&gt;0,J185/F185,"")</f>
        <v>-0.339075</v>
      </c>
      <c r="L185" s="11" t="s">
        <v>153</v>
      </c>
    </row>
    <row r="186" customFormat="false" ht="15" hidden="false" customHeight="false" outlineLevel="0" collapsed="false">
      <c r="A186" s="10" t="n">
        <v>46108.6597337963</v>
      </c>
      <c r="B186" s="11" t="s">
        <v>155</v>
      </c>
      <c r="C186" s="11" t="s">
        <v>20</v>
      </c>
      <c r="D186" s="11" t="s">
        <v>21</v>
      </c>
      <c r="E186" s="0" t="n">
        <v>0</v>
      </c>
      <c r="F186" s="12" t="n">
        <v>1000</v>
      </c>
      <c r="G186" s="12" t="n">
        <v>145.6</v>
      </c>
      <c r="H186" s="12" t="n">
        <v>-0.93</v>
      </c>
      <c r="I186" s="12" t="n">
        <v>-25.42</v>
      </c>
      <c r="J186" s="12" t="n">
        <f aca="false">G186+H186+I186</f>
        <v>119.25</v>
      </c>
      <c r="K186" s="13" t="n">
        <f aca="false">IF(F186&gt;0,J186/F186,"")</f>
        <v>0.11925</v>
      </c>
      <c r="L186" s="11" t="s">
        <v>22</v>
      </c>
    </row>
    <row r="187" customFormat="false" ht="15" hidden="false" customHeight="false" outlineLevel="0" collapsed="false">
      <c r="A187" s="10" t="n">
        <v>46108.8394560185</v>
      </c>
      <c r="B187" s="11" t="s">
        <v>138</v>
      </c>
      <c r="C187" s="11" t="s">
        <v>20</v>
      </c>
      <c r="D187" s="11" t="s">
        <v>21</v>
      </c>
      <c r="E187" s="0" t="n">
        <v>0</v>
      </c>
      <c r="F187" s="12" t="n">
        <v>499.86</v>
      </c>
      <c r="G187" s="12" t="n">
        <v>83.59</v>
      </c>
      <c r="H187" s="12" t="n">
        <v>-0.46</v>
      </c>
      <c r="I187" s="12" t="n">
        <v>-1.2</v>
      </c>
      <c r="J187" s="12" t="n">
        <f aca="false">G187+H187+I187</f>
        <v>81.93</v>
      </c>
      <c r="K187" s="13" t="n">
        <f aca="false">IF(F187&gt;0,J187/F187,"")</f>
        <v>0.163905893650222</v>
      </c>
      <c r="L187" s="11" t="s">
        <v>22</v>
      </c>
    </row>
    <row r="188" customFormat="false" ht="15" hidden="false" customHeight="false" outlineLevel="0" collapsed="false">
      <c r="A188" s="10" t="n">
        <v>46109.4473726852</v>
      </c>
      <c r="B188" s="11" t="s">
        <v>156</v>
      </c>
      <c r="C188" s="11" t="s">
        <v>20</v>
      </c>
      <c r="D188" s="11" t="s">
        <v>21</v>
      </c>
      <c r="E188" s="0" t="n">
        <v>3</v>
      </c>
      <c r="F188" s="12" t="n">
        <v>8999.8</v>
      </c>
      <c r="G188" s="12" t="n">
        <v>-288.43</v>
      </c>
      <c r="H188" s="12" t="n">
        <v>-9.14</v>
      </c>
      <c r="I188" s="12" t="n">
        <v>6.18</v>
      </c>
      <c r="J188" s="12" t="n">
        <f aca="false">G188+H188+I188</f>
        <v>-291.39</v>
      </c>
      <c r="K188" s="13" t="n">
        <f aca="false">IF(F188&gt;0,J188/F188,"")</f>
        <v>-0.032377386164137</v>
      </c>
      <c r="L188" s="11" t="s">
        <v>25</v>
      </c>
    </row>
    <row r="189" customFormat="false" ht="15" hidden="false" customHeight="false" outlineLevel="0" collapsed="false">
      <c r="A189" s="10" t="n">
        <v>46110.3405671296</v>
      </c>
      <c r="B189" s="11" t="s">
        <v>144</v>
      </c>
      <c r="C189" s="11" t="s">
        <v>20</v>
      </c>
      <c r="D189" s="11" t="s">
        <v>21</v>
      </c>
      <c r="E189" s="0" t="n">
        <v>0</v>
      </c>
      <c r="F189" s="12" t="n">
        <v>999.99</v>
      </c>
      <c r="G189" s="12" t="n">
        <v>89.51</v>
      </c>
      <c r="H189" s="12" t="n">
        <v>-0.96</v>
      </c>
      <c r="I189" s="12" t="n">
        <v>-13.81</v>
      </c>
      <c r="J189" s="12" t="n">
        <f aca="false">G189+H189+I189</f>
        <v>74.74</v>
      </c>
      <c r="K189" s="13" t="n">
        <f aca="false">IF(F189&gt;0,J189/F189,"")</f>
        <v>0.0747407474074741</v>
      </c>
      <c r="L189" s="11" t="s">
        <v>22</v>
      </c>
    </row>
    <row r="190" customFormat="false" ht="15" hidden="false" customHeight="false" outlineLevel="0" collapsed="false">
      <c r="A190" s="10" t="n">
        <v>46110.4920833333</v>
      </c>
      <c r="B190" s="11" t="s">
        <v>124</v>
      </c>
      <c r="C190" s="11" t="s">
        <v>20</v>
      </c>
      <c r="D190" s="11" t="s">
        <v>21</v>
      </c>
      <c r="E190" s="0" t="n">
        <v>0</v>
      </c>
      <c r="F190" s="12" t="n">
        <v>1000</v>
      </c>
      <c r="G190" s="12" t="n">
        <v>75.13</v>
      </c>
      <c r="H190" s="12" t="n">
        <v>-0.96</v>
      </c>
      <c r="I190" s="12" t="n">
        <v>0</v>
      </c>
      <c r="J190" s="12" t="n">
        <f aca="false">G190+H190+I190</f>
        <v>74.17</v>
      </c>
      <c r="K190" s="13" t="n">
        <f aca="false">IF(F190&gt;0,J190/F190,"")</f>
        <v>0.07417</v>
      </c>
      <c r="L190" s="11" t="s">
        <v>22</v>
      </c>
    </row>
    <row r="191" customFormat="false" ht="15" hidden="false" customHeight="false" outlineLevel="0" collapsed="false">
      <c r="A191" s="10" t="n">
        <v>46110.5328703704</v>
      </c>
      <c r="B191" s="11" t="s">
        <v>157</v>
      </c>
      <c r="C191" s="11" t="s">
        <v>20</v>
      </c>
      <c r="D191" s="11" t="s">
        <v>21</v>
      </c>
      <c r="E191" s="0" t="n">
        <v>0</v>
      </c>
      <c r="F191" s="12" t="n">
        <v>1000</v>
      </c>
      <c r="G191" s="12" t="n">
        <v>-121.74</v>
      </c>
      <c r="H191" s="12" t="n">
        <v>-1.06</v>
      </c>
      <c r="I191" s="12" t="n">
        <v>-49.69</v>
      </c>
      <c r="J191" s="12" t="n">
        <f aca="false">G191+H191+I191</f>
        <v>-172.49</v>
      </c>
      <c r="K191" s="13" t="n">
        <f aca="false">IF(F191&gt;0,J191/F191,"")</f>
        <v>-0.17249</v>
      </c>
      <c r="L191" s="11" t="s">
        <v>25</v>
      </c>
    </row>
    <row r="192" customFormat="false" ht="15" hidden="false" customHeight="false" outlineLevel="0" collapsed="false">
      <c r="A192" s="10" t="n">
        <v>46110.6775925926</v>
      </c>
      <c r="B192" s="11" t="s">
        <v>69</v>
      </c>
      <c r="C192" s="11" t="s">
        <v>20</v>
      </c>
      <c r="D192" s="11" t="s">
        <v>21</v>
      </c>
      <c r="E192" s="0" t="n">
        <v>0</v>
      </c>
      <c r="F192" s="12" t="n">
        <v>999.99</v>
      </c>
      <c r="G192" s="12" t="n">
        <v>44.94</v>
      </c>
      <c r="H192" s="12" t="n">
        <v>-0.98</v>
      </c>
      <c r="I192" s="12" t="n">
        <v>0</v>
      </c>
      <c r="J192" s="12" t="n">
        <f aca="false">G192+H192+I192</f>
        <v>43.96</v>
      </c>
      <c r="K192" s="13" t="n">
        <f aca="false">IF(F192&gt;0,J192/F192,"")</f>
        <v>0.043960439604396</v>
      </c>
      <c r="L192" s="11" t="s">
        <v>22</v>
      </c>
    </row>
    <row r="193" customFormat="false" ht="15" hidden="false" customHeight="false" outlineLevel="0" collapsed="false">
      <c r="A193" s="10" t="n">
        <v>46110.7633912037</v>
      </c>
      <c r="B193" s="11" t="s">
        <v>158</v>
      </c>
      <c r="C193" s="11" t="s">
        <v>20</v>
      </c>
      <c r="D193" s="11" t="s">
        <v>21</v>
      </c>
      <c r="E193" s="0" t="n">
        <v>0</v>
      </c>
      <c r="F193" s="12" t="n">
        <v>999.95</v>
      </c>
      <c r="G193" s="12" t="n">
        <v>48.79</v>
      </c>
      <c r="H193" s="12" t="n">
        <v>-0.98</v>
      </c>
      <c r="I193" s="12" t="n">
        <v>0</v>
      </c>
      <c r="J193" s="12" t="n">
        <f aca="false">G193+H193+I193</f>
        <v>47.81</v>
      </c>
      <c r="K193" s="13" t="n">
        <f aca="false">IF(F193&gt;0,J193/F193,"")</f>
        <v>0.047812390619531</v>
      </c>
      <c r="L193" s="11" t="s">
        <v>22</v>
      </c>
    </row>
    <row r="194" customFormat="false" ht="15" hidden="false" customHeight="false" outlineLevel="0" collapsed="false">
      <c r="A194" s="10" t="n">
        <v>46110.8867013889</v>
      </c>
      <c r="B194" s="11" t="s">
        <v>159</v>
      </c>
      <c r="C194" s="11" t="s">
        <v>20</v>
      </c>
      <c r="D194" s="11" t="s">
        <v>21</v>
      </c>
      <c r="E194" s="0" t="n">
        <v>0</v>
      </c>
      <c r="F194" s="12" t="n">
        <v>999.99</v>
      </c>
      <c r="G194" s="12" t="n">
        <v>5</v>
      </c>
      <c r="H194" s="12" t="n">
        <v>-1</v>
      </c>
      <c r="I194" s="12" t="n">
        <v>0</v>
      </c>
      <c r="J194" s="12" t="n">
        <f aca="false">G194+H194+I194</f>
        <v>4</v>
      </c>
      <c r="K194" s="13" t="n">
        <f aca="false">IF(F194&gt;0,J194/F194,"")</f>
        <v>0.0040000400004</v>
      </c>
      <c r="L194" s="11" t="s">
        <v>22</v>
      </c>
    </row>
    <row r="195" customFormat="false" ht="15" hidden="false" customHeight="false" outlineLevel="0" collapsed="false">
      <c r="A195" s="10" t="n">
        <v>46111.3948032407</v>
      </c>
      <c r="B195" s="11" t="s">
        <v>160</v>
      </c>
      <c r="C195" s="11" t="s">
        <v>20</v>
      </c>
      <c r="D195" s="11" t="s">
        <v>21</v>
      </c>
      <c r="E195" s="0" t="n">
        <v>0</v>
      </c>
      <c r="F195" s="12" t="n">
        <v>1000</v>
      </c>
      <c r="G195" s="12" t="n">
        <v>-1.19</v>
      </c>
      <c r="H195" s="12" t="n">
        <v>-1</v>
      </c>
      <c r="I195" s="12" t="n">
        <v>0</v>
      </c>
      <c r="J195" s="12" t="n">
        <f aca="false">G195+H195+I195</f>
        <v>-2.19</v>
      </c>
      <c r="K195" s="13" t="n">
        <f aca="false">IF(F195&gt;0,J195/F195,"")</f>
        <v>-0.00219</v>
      </c>
      <c r="L195" s="11" t="s">
        <v>25</v>
      </c>
    </row>
    <row r="196" customFormat="false" ht="15" hidden="false" customHeight="false" outlineLevel="0" collapsed="false">
      <c r="A196" s="10" t="n">
        <v>46111.8899305556</v>
      </c>
      <c r="B196" s="11" t="s">
        <v>160</v>
      </c>
      <c r="C196" s="11" t="s">
        <v>20</v>
      </c>
      <c r="D196" s="11" t="s">
        <v>21</v>
      </c>
      <c r="E196" s="0" t="n">
        <v>0</v>
      </c>
      <c r="F196" s="12" t="n">
        <v>1000</v>
      </c>
      <c r="G196" s="12" t="n">
        <v>11.37</v>
      </c>
      <c r="H196" s="12" t="n">
        <v>-0.99</v>
      </c>
      <c r="I196" s="12" t="n">
        <v>0.18</v>
      </c>
      <c r="J196" s="12" t="n">
        <f aca="false">G196+H196+I196</f>
        <v>10.56</v>
      </c>
      <c r="K196" s="13" t="n">
        <f aca="false">IF(F196&gt;0,J196/F196,"")</f>
        <v>0.01056</v>
      </c>
      <c r="L196" s="11" t="s">
        <v>22</v>
      </c>
    </row>
    <row r="197" customFormat="false" ht="15" hidden="false" customHeight="false" outlineLevel="0" collapsed="false">
      <c r="A197" s="10" t="n">
        <v>46112.3155555556</v>
      </c>
      <c r="B197" s="11" t="s">
        <v>161</v>
      </c>
      <c r="C197" s="11" t="s">
        <v>20</v>
      </c>
      <c r="D197" s="11" t="s">
        <v>21</v>
      </c>
      <c r="E197" s="0" t="n">
        <v>0</v>
      </c>
      <c r="F197" s="12" t="n">
        <v>995.15</v>
      </c>
      <c r="G197" s="12" t="n">
        <v>2.61</v>
      </c>
      <c r="H197" s="12" t="n">
        <v>-0.7</v>
      </c>
      <c r="I197" s="12" t="n">
        <v>0</v>
      </c>
      <c r="J197" s="12" t="n">
        <f aca="false">G197+H197+I197</f>
        <v>1.91</v>
      </c>
      <c r="K197" s="13" t="n">
        <f aca="false">IF(F197&gt;0,J197/F197,"")</f>
        <v>0.00191930864693765</v>
      </c>
      <c r="L197" s="11" t="s">
        <v>22</v>
      </c>
    </row>
    <row r="198" customFormat="false" ht="15" hidden="false" customHeight="false" outlineLevel="0" collapsed="false">
      <c r="A198" s="10" t="n">
        <v>46113.6140277778</v>
      </c>
      <c r="B198" s="11" t="s">
        <v>53</v>
      </c>
      <c r="C198" s="11" t="s">
        <v>20</v>
      </c>
      <c r="D198" s="11" t="s">
        <v>21</v>
      </c>
      <c r="E198" s="0" t="n">
        <v>2</v>
      </c>
      <c r="F198" s="12" t="n">
        <v>2416.03</v>
      </c>
      <c r="G198" s="12" t="n">
        <v>26.62</v>
      </c>
      <c r="H198" s="12" t="n">
        <v>-2.13</v>
      </c>
      <c r="I198" s="12" t="n">
        <v>-0.26</v>
      </c>
      <c r="J198" s="12" t="n">
        <f aca="false">G198+H198+I198</f>
        <v>24.23</v>
      </c>
      <c r="K198" s="13" t="n">
        <f aca="false">IF(F198&gt;0,J198/F198,"")</f>
        <v>0.0100288489795243</v>
      </c>
      <c r="L198" s="11" t="s">
        <v>61</v>
      </c>
    </row>
    <row r="199" customFormat="false" ht="15" hidden="false" customHeight="false" outlineLevel="0" collapsed="false">
      <c r="A199" s="10" t="n">
        <v>46113.6639699074</v>
      </c>
      <c r="B199" s="11" t="s">
        <v>162</v>
      </c>
      <c r="C199" s="11" t="s">
        <v>20</v>
      </c>
      <c r="D199" s="11" t="s">
        <v>21</v>
      </c>
      <c r="E199" s="0" t="n">
        <v>0</v>
      </c>
      <c r="F199" s="12" t="n">
        <v>999.98</v>
      </c>
      <c r="G199" s="12" t="n">
        <v>72.36</v>
      </c>
      <c r="H199" s="12" t="n">
        <v>-0.96</v>
      </c>
      <c r="I199" s="12" t="n">
        <v>0</v>
      </c>
      <c r="J199" s="12" t="n">
        <f aca="false">G199+H199+I199</f>
        <v>71.4</v>
      </c>
      <c r="K199" s="13" t="n">
        <f aca="false">IF(F199&gt;0,J199/F199,"")</f>
        <v>0.0714014280285606</v>
      </c>
      <c r="L199" s="11" t="s">
        <v>22</v>
      </c>
    </row>
    <row r="200" customFormat="false" ht="15" hidden="false" customHeight="false" outlineLevel="0" collapsed="false">
      <c r="A200" s="10" t="n">
        <v>46113.7456365741</v>
      </c>
      <c r="B200" s="11" t="s">
        <v>162</v>
      </c>
      <c r="C200" s="11" t="s">
        <v>20</v>
      </c>
      <c r="D200" s="11" t="s">
        <v>21</v>
      </c>
      <c r="E200" s="0" t="n">
        <v>0</v>
      </c>
      <c r="F200" s="12" t="n">
        <v>999.98</v>
      </c>
      <c r="G200" s="12" t="n">
        <v>-3.98</v>
      </c>
      <c r="H200" s="12" t="n">
        <v>-1</v>
      </c>
      <c r="I200" s="12" t="n">
        <v>0</v>
      </c>
      <c r="J200" s="12" t="n">
        <f aca="false">G200+H200+I200</f>
        <v>-4.98</v>
      </c>
      <c r="K200" s="13" t="n">
        <f aca="false">IF(F200&gt;0,J200/F200,"")</f>
        <v>-0.00498009960199204</v>
      </c>
      <c r="L200" s="11" t="s">
        <v>25</v>
      </c>
    </row>
    <row r="201" customFormat="false" ht="15" hidden="false" customHeight="false" outlineLevel="0" collapsed="false">
      <c r="A201" s="10" t="n">
        <v>46113.9281944444</v>
      </c>
      <c r="B201" s="11" t="s">
        <v>163</v>
      </c>
      <c r="C201" s="11" t="s">
        <v>20</v>
      </c>
      <c r="D201" s="11" t="s">
        <v>21</v>
      </c>
      <c r="E201" s="0" t="n">
        <v>0</v>
      </c>
      <c r="F201" s="12" t="n">
        <v>1000</v>
      </c>
      <c r="G201" s="12" t="n">
        <v>46.1</v>
      </c>
      <c r="H201" s="12" t="n">
        <v>-0.98</v>
      </c>
      <c r="I201" s="12" t="n">
        <v>0.75</v>
      </c>
      <c r="J201" s="12" t="n">
        <f aca="false">G201+H201+I201</f>
        <v>45.87</v>
      </c>
      <c r="K201" s="13" t="n">
        <f aca="false">IF(F201&gt;0,J201/F201,"")</f>
        <v>0.04587</v>
      </c>
      <c r="L201" s="11" t="s">
        <v>22</v>
      </c>
    </row>
    <row r="202" customFormat="false" ht="15" hidden="false" customHeight="false" outlineLevel="0" collapsed="false">
      <c r="A202" s="10" t="n">
        <v>46114.0658912037</v>
      </c>
      <c r="B202" s="11" t="s">
        <v>162</v>
      </c>
      <c r="C202" s="11" t="s">
        <v>20</v>
      </c>
      <c r="D202" s="11" t="s">
        <v>21</v>
      </c>
      <c r="E202" s="0" t="n">
        <v>2</v>
      </c>
      <c r="F202" s="12" t="n">
        <v>1493.1</v>
      </c>
      <c r="G202" s="12" t="n">
        <v>176.91</v>
      </c>
      <c r="H202" s="12" t="n">
        <v>-1.26</v>
      </c>
      <c r="I202" s="12" t="n">
        <v>0.15</v>
      </c>
      <c r="J202" s="12" t="n">
        <f aca="false">G202+H202+I202</f>
        <v>175.8</v>
      </c>
      <c r="K202" s="13" t="n">
        <f aca="false">IF(F202&gt;0,J202/F202,"")</f>
        <v>0.117741611412498</v>
      </c>
      <c r="L202" s="11" t="s">
        <v>61</v>
      </c>
    </row>
    <row r="203" customFormat="false" ht="15" hidden="false" customHeight="false" outlineLevel="0" collapsed="false">
      <c r="A203" s="10" t="n">
        <v>46114.0877777778</v>
      </c>
      <c r="B203" s="11" t="s">
        <v>164</v>
      </c>
      <c r="C203" s="11" t="s">
        <v>20</v>
      </c>
      <c r="D203" s="11" t="s">
        <v>21</v>
      </c>
      <c r="E203" s="0" t="n">
        <v>0</v>
      </c>
      <c r="F203" s="12" t="n">
        <v>999.76</v>
      </c>
      <c r="G203" s="12" t="n">
        <v>41.18</v>
      </c>
      <c r="H203" s="12" t="n">
        <v>-0.98</v>
      </c>
      <c r="I203" s="12" t="n">
        <v>0.78</v>
      </c>
      <c r="J203" s="12" t="n">
        <f aca="false">G203+H203+I203</f>
        <v>40.98</v>
      </c>
      <c r="K203" s="13" t="n">
        <f aca="false">IF(F203&gt;0,J203/F203,"")</f>
        <v>0.0409898375610146</v>
      </c>
      <c r="L203" s="11" t="s">
        <v>22</v>
      </c>
    </row>
    <row r="204" customFormat="false" ht="15" hidden="false" customHeight="false" outlineLevel="0" collapsed="false">
      <c r="A204" s="10" t="n">
        <v>46114.4221064815</v>
      </c>
      <c r="B204" s="11" t="s">
        <v>138</v>
      </c>
      <c r="C204" s="11" t="s">
        <v>20</v>
      </c>
      <c r="D204" s="11" t="s">
        <v>21</v>
      </c>
      <c r="E204" s="0" t="n">
        <v>0</v>
      </c>
      <c r="F204" s="12" t="n">
        <v>499.98</v>
      </c>
      <c r="G204" s="12" t="n">
        <v>69.18</v>
      </c>
      <c r="H204" s="12" t="n">
        <v>-0.47</v>
      </c>
      <c r="I204" s="12" t="n">
        <v>0</v>
      </c>
      <c r="J204" s="12" t="n">
        <f aca="false">G204+H204+I204</f>
        <v>68.71</v>
      </c>
      <c r="K204" s="13" t="n">
        <f aca="false">IF(F204&gt;0,J204/F204,"")</f>
        <v>0.137425497019881</v>
      </c>
      <c r="L204" s="11" t="s">
        <v>22</v>
      </c>
    </row>
    <row r="205" customFormat="false" ht="15" hidden="false" customHeight="false" outlineLevel="0" collapsed="false">
      <c r="A205" s="10" t="n">
        <v>46114.4450578704</v>
      </c>
      <c r="B205" s="11" t="s">
        <v>165</v>
      </c>
      <c r="C205" s="11" t="s">
        <v>20</v>
      </c>
      <c r="D205" s="11" t="s">
        <v>141</v>
      </c>
      <c r="E205" s="0" t="n">
        <v>0</v>
      </c>
      <c r="F205" s="12" t="n">
        <v>999.99</v>
      </c>
      <c r="G205" s="12" t="n">
        <v>58.56</v>
      </c>
      <c r="H205" s="12" t="n">
        <v>-0.97</v>
      </c>
      <c r="I205" s="12" t="n">
        <v>0</v>
      </c>
      <c r="J205" s="12" t="n">
        <f aca="false">G205+H205+I205</f>
        <v>57.59</v>
      </c>
      <c r="K205" s="13" t="n">
        <f aca="false">IF(F205&gt;0,J205/F205,"")</f>
        <v>0.0575905759057591</v>
      </c>
      <c r="L205" s="11" t="s">
        <v>22</v>
      </c>
    </row>
    <row r="206" customFormat="false" ht="15" hidden="false" customHeight="false" outlineLevel="0" collapsed="false">
      <c r="A206" s="10" t="n">
        <v>46114.5036342593</v>
      </c>
      <c r="B206" s="11" t="s">
        <v>91</v>
      </c>
      <c r="C206" s="11" t="s">
        <v>20</v>
      </c>
      <c r="D206" s="11" t="s">
        <v>21</v>
      </c>
      <c r="E206" s="0" t="n">
        <v>0</v>
      </c>
      <c r="F206" s="12" t="n">
        <v>500</v>
      </c>
      <c r="G206" s="12" t="n">
        <v>63.76</v>
      </c>
      <c r="H206" s="12" t="n">
        <v>-0.47</v>
      </c>
      <c r="I206" s="12" t="n">
        <v>0</v>
      </c>
      <c r="J206" s="12" t="n">
        <f aca="false">G206+H206+I206</f>
        <v>63.29</v>
      </c>
      <c r="K206" s="13" t="n">
        <f aca="false">IF(F206&gt;0,J206/F206,"")</f>
        <v>0.12658</v>
      </c>
      <c r="L206" s="11" t="s">
        <v>22</v>
      </c>
    </row>
    <row r="207" customFormat="false" ht="15" hidden="false" customHeight="false" outlineLevel="0" collapsed="false">
      <c r="A207" s="10" t="n">
        <v>46114.5135416667</v>
      </c>
      <c r="B207" s="11" t="s">
        <v>138</v>
      </c>
      <c r="C207" s="11" t="s">
        <v>20</v>
      </c>
      <c r="D207" s="11" t="s">
        <v>21</v>
      </c>
      <c r="E207" s="0" t="n">
        <v>0</v>
      </c>
      <c r="F207" s="12" t="n">
        <v>499.95</v>
      </c>
      <c r="G207" s="12" t="n">
        <v>37.79</v>
      </c>
      <c r="H207" s="12" t="n">
        <v>-0.48</v>
      </c>
      <c r="I207" s="12" t="n">
        <v>0.03</v>
      </c>
      <c r="J207" s="12" t="n">
        <f aca="false">G207+H207+I207</f>
        <v>37.34</v>
      </c>
      <c r="K207" s="13" t="n">
        <f aca="false">IF(F207&gt;0,J207/F207,"")</f>
        <v>0.0746874687468747</v>
      </c>
      <c r="L207" s="11" t="s">
        <v>22</v>
      </c>
    </row>
    <row r="208" customFormat="false" ht="15" hidden="false" customHeight="false" outlineLevel="0" collapsed="false">
      <c r="A208" s="10" t="n">
        <v>46114.6486111111</v>
      </c>
      <c r="B208" s="11" t="s">
        <v>166</v>
      </c>
      <c r="C208" s="11" t="s">
        <v>20</v>
      </c>
      <c r="D208" s="11" t="s">
        <v>21</v>
      </c>
      <c r="E208" s="0" t="n">
        <v>1</v>
      </c>
      <c r="F208" s="12" t="n">
        <v>1999.99</v>
      </c>
      <c r="G208" s="12" t="n">
        <v>62.15</v>
      </c>
      <c r="H208" s="12" t="n">
        <v>-1.97</v>
      </c>
      <c r="I208" s="12" t="n">
        <v>0.15</v>
      </c>
      <c r="J208" s="12" t="n">
        <f aca="false">G208+H208+I208</f>
        <v>60.33</v>
      </c>
      <c r="K208" s="13" t="n">
        <f aca="false">IF(F208&gt;0,J208/F208,"")</f>
        <v>0.0301651508257541</v>
      </c>
      <c r="L208" s="11" t="s">
        <v>29</v>
      </c>
    </row>
    <row r="209" customFormat="false" ht="15" hidden="false" customHeight="false" outlineLevel="0" collapsed="false">
      <c r="A209" s="10" t="n">
        <v>46114.6579282407</v>
      </c>
      <c r="B209" s="11" t="s">
        <v>167</v>
      </c>
      <c r="C209" s="11" t="s">
        <v>20</v>
      </c>
      <c r="D209" s="11" t="s">
        <v>21</v>
      </c>
      <c r="E209" s="0" t="n">
        <v>0</v>
      </c>
      <c r="F209" s="12" t="n">
        <v>499.28</v>
      </c>
      <c r="G209" s="12" t="n">
        <v>0.5</v>
      </c>
      <c r="H209" s="12" t="n">
        <v>-0.5</v>
      </c>
      <c r="I209" s="12" t="n">
        <v>0</v>
      </c>
      <c r="J209" s="12" t="n">
        <f aca="false">G209+H209+I209</f>
        <v>0</v>
      </c>
      <c r="K209" s="13" t="n">
        <f aca="false">IF(F209&gt;0,J209/F209,"")</f>
        <v>0</v>
      </c>
      <c r="L209" s="11" t="s">
        <v>25</v>
      </c>
    </row>
    <row r="210" customFormat="false" ht="15" hidden="false" customHeight="false" outlineLevel="0" collapsed="false">
      <c r="A210" s="10" t="n">
        <v>46114.6976388889</v>
      </c>
      <c r="B210" s="11" t="s">
        <v>112</v>
      </c>
      <c r="C210" s="11" t="s">
        <v>20</v>
      </c>
      <c r="D210" s="11" t="s">
        <v>21</v>
      </c>
      <c r="E210" s="0" t="n">
        <v>0</v>
      </c>
      <c r="F210" s="12" t="n">
        <v>499.99</v>
      </c>
      <c r="G210" s="12" t="n">
        <v>25.4</v>
      </c>
      <c r="H210" s="12" t="n">
        <v>-0.49</v>
      </c>
      <c r="I210" s="12" t="n">
        <v>-0.1</v>
      </c>
      <c r="J210" s="12" t="n">
        <f aca="false">G210+H210+I210</f>
        <v>24.81</v>
      </c>
      <c r="K210" s="13" t="n">
        <f aca="false">IF(F210&gt;0,J210/F210,"")</f>
        <v>0.0496209924198484</v>
      </c>
      <c r="L210" s="11" t="s">
        <v>22</v>
      </c>
    </row>
    <row r="211" customFormat="false" ht="15" hidden="false" customHeight="false" outlineLevel="0" collapsed="false">
      <c r="A211" s="10" t="n">
        <v>46114.8047222222</v>
      </c>
      <c r="B211" s="11" t="s">
        <v>168</v>
      </c>
      <c r="C211" s="11" t="s">
        <v>20</v>
      </c>
      <c r="D211" s="11" t="s">
        <v>21</v>
      </c>
      <c r="E211" s="0" t="n">
        <v>0</v>
      </c>
      <c r="F211" s="12" t="n">
        <v>1499.97</v>
      </c>
      <c r="G211" s="12" t="n">
        <v>160.91</v>
      </c>
      <c r="H211" s="12" t="n">
        <v>-1.42</v>
      </c>
      <c r="I211" s="12" t="n">
        <v>0</v>
      </c>
      <c r="J211" s="12" t="n">
        <f aca="false">G211+H211+I211</f>
        <v>159.49</v>
      </c>
      <c r="K211" s="13" t="n">
        <f aca="false">IF(F211&gt;0,J211/F211,"")</f>
        <v>0.106328793242532</v>
      </c>
      <c r="L211" s="11" t="s">
        <v>22</v>
      </c>
    </row>
    <row r="212" customFormat="false" ht="15" hidden="false" customHeight="false" outlineLevel="0" collapsed="false">
      <c r="A212" s="10" t="n">
        <v>46114.8135416667</v>
      </c>
      <c r="B212" s="11" t="s">
        <v>98</v>
      </c>
      <c r="C212" s="11" t="s">
        <v>169</v>
      </c>
      <c r="D212" s="11" t="s">
        <v>21</v>
      </c>
      <c r="E212" s="0" t="n">
        <v>0</v>
      </c>
      <c r="F212" s="12" t="n">
        <v>499.86</v>
      </c>
      <c r="G212" s="12" t="n">
        <v>18.37</v>
      </c>
      <c r="H212" s="12" t="n">
        <v>-0.51</v>
      </c>
      <c r="I212" s="12" t="n">
        <v>0</v>
      </c>
      <c r="J212" s="12" t="n">
        <f aca="false">G212+H212+I212</f>
        <v>17.86</v>
      </c>
      <c r="K212" s="13" t="n">
        <f aca="false">IF(F212&gt;0,J212/F212,"")</f>
        <v>0.0357300044012323</v>
      </c>
      <c r="L212" s="11" t="s">
        <v>22</v>
      </c>
    </row>
    <row r="213" customFormat="false" ht="15" hidden="false" customHeight="false" outlineLevel="0" collapsed="false">
      <c r="A213" s="10" t="n">
        <v>46114.8825925926</v>
      </c>
      <c r="B213" s="11" t="s">
        <v>170</v>
      </c>
      <c r="C213" s="11" t="s">
        <v>20</v>
      </c>
      <c r="D213" s="11" t="s">
        <v>21</v>
      </c>
      <c r="E213" s="0" t="n">
        <v>1</v>
      </c>
      <c r="F213" s="12" t="n">
        <v>1499.92</v>
      </c>
      <c r="G213" s="12" t="n">
        <v>99.11</v>
      </c>
      <c r="H213" s="12" t="n">
        <v>-1.45</v>
      </c>
      <c r="I213" s="12" t="n">
        <v>0.05</v>
      </c>
      <c r="J213" s="12" t="n">
        <f aca="false">G213+H213+I213</f>
        <v>97.71</v>
      </c>
      <c r="K213" s="13" t="n">
        <f aca="false">IF(F213&gt;0,J213/F213,"")</f>
        <v>0.0651434743186303</v>
      </c>
      <c r="L213" s="11" t="s">
        <v>29</v>
      </c>
    </row>
    <row r="214" customFormat="false" ht="15" hidden="false" customHeight="false" outlineLevel="0" collapsed="false">
      <c r="A214" s="10" t="n">
        <v>46115.2621990741</v>
      </c>
      <c r="B214" s="11" t="s">
        <v>171</v>
      </c>
      <c r="C214" s="11" t="s">
        <v>20</v>
      </c>
      <c r="D214" s="11" t="s">
        <v>21</v>
      </c>
      <c r="E214" s="0" t="n">
        <v>0</v>
      </c>
      <c r="F214" s="12" t="n">
        <v>999.98</v>
      </c>
      <c r="G214" s="12" t="n">
        <v>45.44</v>
      </c>
      <c r="H214" s="12" t="n">
        <v>-0.98</v>
      </c>
      <c r="I214" s="12" t="n">
        <v>0.39</v>
      </c>
      <c r="J214" s="12" t="n">
        <f aca="false">G214+H214+I214</f>
        <v>44.85</v>
      </c>
      <c r="K214" s="13" t="n">
        <f aca="false">IF(F214&gt;0,J214/F214,"")</f>
        <v>0.0448508970179404</v>
      </c>
      <c r="L214" s="11" t="s">
        <v>22</v>
      </c>
    </row>
    <row r="215" customFormat="false" ht="15" hidden="false" customHeight="false" outlineLevel="0" collapsed="false">
      <c r="A215" s="10" t="n">
        <v>46115.4189699074</v>
      </c>
      <c r="B215" s="11" t="s">
        <v>172</v>
      </c>
      <c r="C215" s="11" t="s">
        <v>20</v>
      </c>
      <c r="D215" s="11" t="s">
        <v>21</v>
      </c>
      <c r="E215" s="0" t="n">
        <v>0</v>
      </c>
      <c r="F215" s="12" t="n">
        <v>500</v>
      </c>
      <c r="G215" s="12" t="n">
        <v>34.84</v>
      </c>
      <c r="H215" s="12" t="n">
        <v>-0.48</v>
      </c>
      <c r="I215" s="12" t="n">
        <v>0</v>
      </c>
      <c r="J215" s="12" t="n">
        <f aca="false">G215+H215+I215</f>
        <v>34.36</v>
      </c>
      <c r="K215" s="13" t="n">
        <f aca="false">IF(F215&gt;0,J215/F215,"")</f>
        <v>0.06872</v>
      </c>
      <c r="L215" s="11" t="s">
        <v>22</v>
      </c>
    </row>
    <row r="216" customFormat="false" ht="15" hidden="false" customHeight="false" outlineLevel="0" collapsed="false">
      <c r="A216" s="10" t="n">
        <v>46115.4796180556</v>
      </c>
      <c r="B216" s="11" t="s">
        <v>143</v>
      </c>
      <c r="C216" s="11" t="s">
        <v>20</v>
      </c>
      <c r="D216" s="11" t="s">
        <v>21</v>
      </c>
      <c r="E216" s="0" t="n">
        <v>0</v>
      </c>
      <c r="F216" s="12" t="n">
        <v>499.99</v>
      </c>
      <c r="G216" s="12" t="n">
        <v>-39.24</v>
      </c>
      <c r="H216" s="12" t="n">
        <v>-11.03</v>
      </c>
      <c r="I216" s="12" t="n">
        <v>0</v>
      </c>
      <c r="J216" s="12" t="n">
        <f aca="false">G216+H216+I216</f>
        <v>-50.27</v>
      </c>
      <c r="K216" s="13" t="n">
        <f aca="false">IF(F216&gt;0,J216/F216,"")</f>
        <v>-0.100542010840217</v>
      </c>
      <c r="L216" s="11" t="s">
        <v>153</v>
      </c>
    </row>
    <row r="217" customFormat="false" ht="15" hidden="false" customHeight="false" outlineLevel="0" collapsed="false">
      <c r="A217" s="10" t="n">
        <v>46115.5516319444</v>
      </c>
      <c r="B217" s="11" t="s">
        <v>64</v>
      </c>
      <c r="C217" s="11" t="s">
        <v>20</v>
      </c>
      <c r="D217" s="11" t="s">
        <v>21</v>
      </c>
      <c r="E217" s="0" t="n">
        <v>0</v>
      </c>
      <c r="F217" s="12" t="n">
        <v>999.99</v>
      </c>
      <c r="G217" s="12" t="n">
        <v>52.13</v>
      </c>
      <c r="H217" s="12" t="n">
        <v>-0.97</v>
      </c>
      <c r="I217" s="12" t="n">
        <v>-3.19</v>
      </c>
      <c r="J217" s="12" t="n">
        <f aca="false">G217+H217+I217</f>
        <v>47.97</v>
      </c>
      <c r="K217" s="13" t="n">
        <f aca="false">IF(F217&gt;0,J217/F217,"")</f>
        <v>0.0479704797047971</v>
      </c>
      <c r="L217" s="11" t="s">
        <v>22</v>
      </c>
    </row>
    <row r="218" customFormat="false" ht="15" hidden="false" customHeight="false" outlineLevel="0" collapsed="false">
      <c r="A218" s="10" t="n">
        <v>46115.6163310185</v>
      </c>
      <c r="B218" s="11" t="s">
        <v>168</v>
      </c>
      <c r="C218" s="11" t="s">
        <v>20</v>
      </c>
      <c r="D218" s="11" t="s">
        <v>21</v>
      </c>
      <c r="E218" s="0" t="n">
        <v>0</v>
      </c>
      <c r="F218" s="12" t="n">
        <v>1000</v>
      </c>
      <c r="G218" s="12" t="n">
        <v>53.46</v>
      </c>
      <c r="H218" s="12" t="n">
        <v>-0.97</v>
      </c>
      <c r="I218" s="12" t="n">
        <v>0</v>
      </c>
      <c r="J218" s="12" t="n">
        <f aca="false">G218+H218+I218</f>
        <v>52.49</v>
      </c>
      <c r="K218" s="13" t="n">
        <f aca="false">IF(F218&gt;0,J218/F218,"")</f>
        <v>0.05249</v>
      </c>
      <c r="L218" s="11" t="s">
        <v>22</v>
      </c>
    </row>
    <row r="219" customFormat="false" ht="15" hidden="false" customHeight="false" outlineLevel="0" collapsed="false">
      <c r="A219" s="10" t="n">
        <v>46115.7303587963</v>
      </c>
      <c r="B219" s="11" t="s">
        <v>173</v>
      </c>
      <c r="C219" s="11" t="s">
        <v>20</v>
      </c>
      <c r="D219" s="11" t="s">
        <v>21</v>
      </c>
      <c r="E219" s="0" t="n">
        <v>0</v>
      </c>
      <c r="F219" s="12" t="n">
        <v>2500</v>
      </c>
      <c r="G219" s="12" t="n">
        <v>-3.7</v>
      </c>
      <c r="H219" s="12" t="n">
        <v>-2.5</v>
      </c>
      <c r="I219" s="12" t="n">
        <v>0</v>
      </c>
      <c r="J219" s="12" t="n">
        <f aca="false">G219+H219+I219</f>
        <v>-6.2</v>
      </c>
      <c r="K219" s="13" t="n">
        <f aca="false">IF(F219&gt;0,J219/F219,"")</f>
        <v>-0.00248</v>
      </c>
      <c r="L219" s="11" t="s">
        <v>25</v>
      </c>
    </row>
    <row r="220" customFormat="false" ht="15" hidden="false" customHeight="false" outlineLevel="0" collapsed="false">
      <c r="A220" s="10" t="n">
        <v>46115.8884606482</v>
      </c>
      <c r="B220" s="11" t="s">
        <v>39</v>
      </c>
      <c r="C220" s="11" t="s">
        <v>20</v>
      </c>
      <c r="D220" s="11" t="s">
        <v>21</v>
      </c>
      <c r="E220" s="0" t="n">
        <v>1</v>
      </c>
      <c r="F220" s="12" t="n">
        <v>1000</v>
      </c>
      <c r="G220" s="12" t="n">
        <v>25.8</v>
      </c>
      <c r="H220" s="12" t="n">
        <v>-0.99</v>
      </c>
      <c r="I220" s="12" t="n">
        <v>0</v>
      </c>
      <c r="J220" s="12" t="n">
        <f aca="false">G220+H220+I220</f>
        <v>24.81</v>
      </c>
      <c r="K220" s="13" t="n">
        <f aca="false">IF(F220&gt;0,J220/F220,"")</f>
        <v>0.02481</v>
      </c>
      <c r="L220" s="11" t="s">
        <v>29</v>
      </c>
    </row>
    <row r="221" customFormat="false" ht="15" hidden="false" customHeight="false" outlineLevel="0" collapsed="false">
      <c r="A221" s="10" t="n">
        <v>46115.8996412037</v>
      </c>
      <c r="B221" s="11" t="s">
        <v>173</v>
      </c>
      <c r="C221" s="11" t="s">
        <v>20</v>
      </c>
      <c r="D221" s="11" t="s">
        <v>21</v>
      </c>
      <c r="E221" s="0" t="n">
        <v>0</v>
      </c>
      <c r="F221" s="12" t="n">
        <v>500</v>
      </c>
      <c r="G221" s="12" t="n">
        <v>11.14</v>
      </c>
      <c r="H221" s="12" t="n">
        <v>-0.49</v>
      </c>
      <c r="I221" s="12" t="n">
        <v>-4.34</v>
      </c>
      <c r="J221" s="12" t="n">
        <f aca="false">G221+H221+I221</f>
        <v>6.31</v>
      </c>
      <c r="K221" s="13" t="n">
        <f aca="false">IF(F221&gt;0,J221/F221,"")</f>
        <v>0.01262</v>
      </c>
      <c r="L221" s="11" t="s">
        <v>22</v>
      </c>
    </row>
    <row r="222" customFormat="false" ht="15" hidden="false" customHeight="false" outlineLevel="0" collapsed="false">
      <c r="A222" s="10" t="n">
        <v>46115.9303935185</v>
      </c>
      <c r="B222" s="11" t="s">
        <v>102</v>
      </c>
      <c r="C222" s="11" t="s">
        <v>20</v>
      </c>
      <c r="D222" s="11" t="s">
        <v>21</v>
      </c>
      <c r="E222" s="0" t="n">
        <v>0</v>
      </c>
      <c r="F222" s="12" t="n">
        <v>999.99</v>
      </c>
      <c r="G222" s="12" t="n">
        <v>-58.04</v>
      </c>
      <c r="H222" s="12" t="n">
        <v>-1.03</v>
      </c>
      <c r="I222" s="12" t="n">
        <v>0</v>
      </c>
      <c r="J222" s="12" t="n">
        <f aca="false">G222+H222+I222</f>
        <v>-59.07</v>
      </c>
      <c r="K222" s="13" t="n">
        <f aca="false">IF(F222&gt;0,J222/F222,"")</f>
        <v>-0.0590705907059071</v>
      </c>
      <c r="L222" s="11" t="s">
        <v>25</v>
      </c>
    </row>
    <row r="223" customFormat="false" ht="15" hidden="false" customHeight="false" outlineLevel="0" collapsed="false">
      <c r="A223" s="10" t="n">
        <v>46116.5336342593</v>
      </c>
      <c r="B223" s="11" t="s">
        <v>174</v>
      </c>
      <c r="C223" s="11" t="s">
        <v>20</v>
      </c>
      <c r="D223" s="11" t="s">
        <v>21</v>
      </c>
      <c r="E223" s="0" t="n">
        <v>1</v>
      </c>
      <c r="F223" s="12" t="n">
        <v>5808.73</v>
      </c>
      <c r="G223" s="12" t="n">
        <v>-1861.7</v>
      </c>
      <c r="H223" s="12" t="n">
        <v>-193.82</v>
      </c>
      <c r="I223" s="12" t="n">
        <v>42.38</v>
      </c>
      <c r="J223" s="12" t="n">
        <f aca="false">G223+H223+I223</f>
        <v>-2013.14</v>
      </c>
      <c r="K223" s="13" t="n">
        <f aca="false">IF(F223&gt;0,J223/F223,"")</f>
        <v>-0.346571453656823</v>
      </c>
      <c r="L223" s="11" t="s">
        <v>153</v>
      </c>
    </row>
    <row r="224" customFormat="false" ht="15" hidden="false" customHeight="false" outlineLevel="0" collapsed="false">
      <c r="A224" s="10" t="n">
        <v>46116.6560416667</v>
      </c>
      <c r="B224" s="11" t="s">
        <v>175</v>
      </c>
      <c r="C224" s="11" t="s">
        <v>20</v>
      </c>
      <c r="D224" s="11" t="s">
        <v>21</v>
      </c>
      <c r="E224" s="0" t="n">
        <v>0</v>
      </c>
      <c r="F224" s="12" t="n">
        <v>500</v>
      </c>
      <c r="G224" s="12" t="n">
        <v>15.4</v>
      </c>
      <c r="H224" s="12" t="n">
        <v>-0.49</v>
      </c>
      <c r="I224" s="12" t="n">
        <v>0.27</v>
      </c>
      <c r="J224" s="12" t="n">
        <f aca="false">G224+H224+I224</f>
        <v>15.18</v>
      </c>
      <c r="K224" s="13" t="n">
        <f aca="false">IF(F224&gt;0,J224/F224,"")</f>
        <v>0.03036</v>
      </c>
      <c r="L224" s="11" t="s">
        <v>22</v>
      </c>
    </row>
    <row r="225" customFormat="false" ht="15" hidden="false" customHeight="false" outlineLevel="0" collapsed="false">
      <c r="A225" s="10" t="n">
        <v>46117.5604166667</v>
      </c>
      <c r="B225" s="11" t="s">
        <v>176</v>
      </c>
      <c r="C225" s="11" t="s">
        <v>20</v>
      </c>
      <c r="D225" s="11" t="s">
        <v>21</v>
      </c>
      <c r="E225" s="0" t="n">
        <v>1</v>
      </c>
      <c r="F225" s="12" t="n">
        <v>1499.8</v>
      </c>
      <c r="G225" s="12" t="n">
        <v>57.74</v>
      </c>
      <c r="H225" s="12" t="n">
        <v>-1.47</v>
      </c>
      <c r="I225" s="12" t="n">
        <v>-17.43</v>
      </c>
      <c r="J225" s="12" t="n">
        <f aca="false">G225+H225+I225</f>
        <v>38.84</v>
      </c>
      <c r="K225" s="13" t="n">
        <f aca="false">IF(F225&gt;0,J225/F225,"")</f>
        <v>0.0258967862381651</v>
      </c>
      <c r="L225" s="11" t="s">
        <v>29</v>
      </c>
    </row>
    <row r="226" customFormat="false" ht="15" hidden="false" customHeight="false" outlineLevel="0" collapsed="false">
      <c r="A226" s="10" t="n">
        <v>46117.6279513889</v>
      </c>
      <c r="B226" s="11" t="s">
        <v>39</v>
      </c>
      <c r="C226" s="11" t="s">
        <v>20</v>
      </c>
      <c r="D226" s="11" t="s">
        <v>21</v>
      </c>
      <c r="E226" s="0" t="n">
        <v>0</v>
      </c>
      <c r="F226" s="12" t="n">
        <v>1000</v>
      </c>
      <c r="G226" s="12" t="n">
        <v>50.35</v>
      </c>
      <c r="H226" s="12" t="n">
        <v>-0.97</v>
      </c>
      <c r="I226" s="12" t="n">
        <v>0</v>
      </c>
      <c r="J226" s="12" t="n">
        <f aca="false">G226+H226+I226</f>
        <v>49.38</v>
      </c>
      <c r="K226" s="13" t="n">
        <f aca="false">IF(F226&gt;0,J226/F226,"")</f>
        <v>0.04938</v>
      </c>
      <c r="L226" s="11" t="s">
        <v>22</v>
      </c>
    </row>
    <row r="227" customFormat="false" ht="15" hidden="false" customHeight="false" outlineLevel="0" collapsed="false">
      <c r="A227" s="10" t="n">
        <v>46117.8947222222</v>
      </c>
      <c r="B227" s="11" t="s">
        <v>49</v>
      </c>
      <c r="C227" s="11" t="s">
        <v>20</v>
      </c>
      <c r="D227" s="11" t="s">
        <v>21</v>
      </c>
      <c r="E227" s="0" t="n">
        <v>0</v>
      </c>
      <c r="F227" s="12" t="n">
        <v>1000</v>
      </c>
      <c r="G227" s="12" t="n">
        <v>18.3</v>
      </c>
      <c r="H227" s="12" t="n">
        <v>-0.99</v>
      </c>
      <c r="I227" s="12" t="n">
        <v>0</v>
      </c>
      <c r="J227" s="12" t="n">
        <f aca="false">G227+H227+I227</f>
        <v>17.31</v>
      </c>
      <c r="K227" s="13" t="n">
        <f aca="false">IF(F227&gt;0,J227/F227,"")</f>
        <v>0.01731</v>
      </c>
      <c r="L227" s="11" t="s">
        <v>22</v>
      </c>
    </row>
    <row r="228" customFormat="false" ht="15" hidden="false" customHeight="false" outlineLevel="0" collapsed="false">
      <c r="A228" s="10" t="n">
        <v>46118.3671064815</v>
      </c>
      <c r="B228" s="11" t="s">
        <v>148</v>
      </c>
      <c r="C228" s="11" t="s">
        <v>20</v>
      </c>
      <c r="D228" s="11" t="s">
        <v>21</v>
      </c>
      <c r="E228" s="0" t="n">
        <v>0</v>
      </c>
      <c r="F228" s="12" t="n">
        <v>1000</v>
      </c>
      <c r="G228" s="12" t="n">
        <v>49.13</v>
      </c>
      <c r="H228" s="12" t="n">
        <v>-0.98</v>
      </c>
      <c r="I228" s="12" t="n">
        <v>0</v>
      </c>
      <c r="J228" s="12" t="n">
        <f aca="false">G228+H228+I228</f>
        <v>48.15</v>
      </c>
      <c r="K228" s="13" t="n">
        <f aca="false">IF(F228&gt;0,J228/F228,"")</f>
        <v>0.04815</v>
      </c>
      <c r="L228" s="11" t="s">
        <v>22</v>
      </c>
    </row>
    <row r="229" customFormat="false" ht="15" hidden="false" customHeight="false" outlineLevel="0" collapsed="false">
      <c r="A229" s="10" t="n">
        <v>46118.4964814815</v>
      </c>
      <c r="B229" s="11" t="s">
        <v>94</v>
      </c>
      <c r="C229" s="11" t="s">
        <v>20</v>
      </c>
      <c r="D229" s="11" t="s">
        <v>21</v>
      </c>
      <c r="E229" s="0" t="n">
        <v>1</v>
      </c>
      <c r="F229" s="12" t="n">
        <v>999.95</v>
      </c>
      <c r="G229" s="12" t="n">
        <v>48.11</v>
      </c>
      <c r="H229" s="12" t="n">
        <v>-0.98</v>
      </c>
      <c r="I229" s="12" t="n">
        <v>-1.7</v>
      </c>
      <c r="J229" s="12" t="n">
        <f aca="false">G229+H229+I229</f>
        <v>45.43</v>
      </c>
      <c r="K229" s="13" t="n">
        <f aca="false">IF(F229&gt;0,J229/F229,"")</f>
        <v>0.0454322716135807</v>
      </c>
      <c r="L229" s="11" t="s">
        <v>29</v>
      </c>
    </row>
    <row r="230" customFormat="false" ht="15" hidden="false" customHeight="false" outlineLevel="0" collapsed="false">
      <c r="A230" s="10" t="n">
        <v>46118.5059722222</v>
      </c>
      <c r="B230" s="11" t="s">
        <v>177</v>
      </c>
      <c r="C230" s="11" t="s">
        <v>20</v>
      </c>
      <c r="D230" s="11" t="s">
        <v>21</v>
      </c>
      <c r="E230" s="0" t="n">
        <v>1</v>
      </c>
      <c r="F230" s="12" t="n">
        <v>999.79</v>
      </c>
      <c r="G230" s="12" t="n">
        <v>30.09</v>
      </c>
      <c r="H230" s="12" t="n">
        <v>-0.98</v>
      </c>
      <c r="I230" s="12" t="n">
        <v>-4.19</v>
      </c>
      <c r="J230" s="12" t="n">
        <f aca="false">G230+H230+I230</f>
        <v>24.92</v>
      </c>
      <c r="K230" s="13" t="n">
        <f aca="false">IF(F230&gt;0,J230/F230,"")</f>
        <v>0.0249252342992028</v>
      </c>
      <c r="L230" s="11" t="s">
        <v>29</v>
      </c>
    </row>
    <row r="231" customFormat="false" ht="15" hidden="false" customHeight="false" outlineLevel="0" collapsed="false">
      <c r="A231" s="10" t="n">
        <v>46118.5456712963</v>
      </c>
      <c r="B231" s="11" t="s">
        <v>178</v>
      </c>
      <c r="C231" s="11" t="s">
        <v>20</v>
      </c>
      <c r="D231" s="11" t="s">
        <v>21</v>
      </c>
      <c r="E231" s="0" t="n">
        <v>1</v>
      </c>
      <c r="F231" s="12" t="n">
        <v>999.97</v>
      </c>
      <c r="G231" s="12" t="n">
        <v>30.01</v>
      </c>
      <c r="H231" s="12" t="n">
        <v>-0.83</v>
      </c>
      <c r="I231" s="12" t="n">
        <v>1.15</v>
      </c>
      <c r="J231" s="12" t="n">
        <f aca="false">G231+H231+I231</f>
        <v>30.33</v>
      </c>
      <c r="K231" s="13" t="n">
        <f aca="false">IF(F231&gt;0,J231/F231,"")</f>
        <v>0.0303309099272978</v>
      </c>
      <c r="L231" s="11" t="s">
        <v>29</v>
      </c>
    </row>
    <row r="232" customFormat="false" ht="15" hidden="false" customHeight="false" outlineLevel="0" collapsed="false">
      <c r="A232" s="10" t="n">
        <v>46118.6425</v>
      </c>
      <c r="B232" s="11" t="s">
        <v>179</v>
      </c>
      <c r="C232" s="11" t="s">
        <v>20</v>
      </c>
      <c r="D232" s="11" t="s">
        <v>21</v>
      </c>
      <c r="E232" s="0" t="n">
        <v>1</v>
      </c>
      <c r="F232" s="12" t="n">
        <v>999.87</v>
      </c>
      <c r="G232" s="12" t="n">
        <v>-2.85</v>
      </c>
      <c r="H232" s="12" t="n">
        <v>-0.85</v>
      </c>
      <c r="I232" s="12" t="n">
        <v>0</v>
      </c>
      <c r="J232" s="12" t="n">
        <f aca="false">G232+H232+I232</f>
        <v>-3.7</v>
      </c>
      <c r="K232" s="13" t="n">
        <f aca="false">IF(F232&gt;0,J232/F232,"")</f>
        <v>-0.00370048106253813</v>
      </c>
      <c r="L232" s="11" t="s">
        <v>25</v>
      </c>
    </row>
    <row r="233" customFormat="false" ht="15" hidden="false" customHeight="false" outlineLevel="0" collapsed="false">
      <c r="A233" s="10" t="n">
        <v>46118.6438541667</v>
      </c>
      <c r="B233" s="11" t="s">
        <v>154</v>
      </c>
      <c r="C233" s="11" t="s">
        <v>20</v>
      </c>
      <c r="D233" s="11" t="s">
        <v>21</v>
      </c>
      <c r="E233" s="0" t="n">
        <v>0</v>
      </c>
      <c r="F233" s="12" t="n">
        <v>1000</v>
      </c>
      <c r="G233" s="12" t="n">
        <v>70.35</v>
      </c>
      <c r="H233" s="12" t="n">
        <v>-0.96</v>
      </c>
      <c r="I233" s="12" t="n">
        <v>0</v>
      </c>
      <c r="J233" s="12" t="n">
        <f aca="false">G233+H233+I233</f>
        <v>69.39</v>
      </c>
      <c r="K233" s="13" t="n">
        <f aca="false">IF(F233&gt;0,J233/F233,"")</f>
        <v>0.06939</v>
      </c>
      <c r="L233" s="11" t="s">
        <v>22</v>
      </c>
    </row>
    <row r="234" customFormat="false" ht="15" hidden="false" customHeight="false" outlineLevel="0" collapsed="false">
      <c r="A234" s="10" t="n">
        <v>46119.3857986111</v>
      </c>
      <c r="B234" s="11" t="s">
        <v>35</v>
      </c>
      <c r="C234" s="11" t="s">
        <v>20</v>
      </c>
      <c r="D234" s="11" t="s">
        <v>21</v>
      </c>
      <c r="E234" s="0" t="n">
        <v>0</v>
      </c>
      <c r="F234" s="12" t="n">
        <v>499.92</v>
      </c>
      <c r="G234" s="12" t="n">
        <v>25.92</v>
      </c>
      <c r="H234" s="12" t="n">
        <v>-0.49</v>
      </c>
      <c r="I234" s="12" t="n">
        <v>0.03</v>
      </c>
      <c r="J234" s="12" t="n">
        <f aca="false">G234+H234+I234</f>
        <v>25.46</v>
      </c>
      <c r="K234" s="13" t="n">
        <f aca="false">IF(F234&gt;0,J234/F234,"")</f>
        <v>0.0509281485037606</v>
      </c>
      <c r="L234" s="11" t="s">
        <v>22</v>
      </c>
    </row>
    <row r="235" customFormat="false" ht="15" hidden="false" customHeight="false" outlineLevel="0" collapsed="false">
      <c r="A235" s="10" t="n">
        <v>46119.576412037</v>
      </c>
      <c r="B235" s="11" t="s">
        <v>35</v>
      </c>
      <c r="C235" s="11" t="s">
        <v>20</v>
      </c>
      <c r="D235" s="11" t="s">
        <v>21</v>
      </c>
      <c r="E235" s="0" t="n">
        <v>0</v>
      </c>
      <c r="F235" s="12" t="n">
        <v>499.93</v>
      </c>
      <c r="G235" s="12" t="n">
        <v>40.74</v>
      </c>
      <c r="H235" s="12" t="n">
        <v>-0.33</v>
      </c>
      <c r="I235" s="12" t="n">
        <v>0</v>
      </c>
      <c r="J235" s="12" t="n">
        <f aca="false">G235+H235+I235</f>
        <v>40.41</v>
      </c>
      <c r="K235" s="13" t="n">
        <f aca="false">IF(F235&gt;0,J235/F235,"")</f>
        <v>0.0808313163842938</v>
      </c>
      <c r="L235" s="11" t="s">
        <v>22</v>
      </c>
    </row>
    <row r="236" customFormat="false" ht="15" hidden="false" customHeight="false" outlineLevel="0" collapsed="false">
      <c r="A236" s="10" t="n">
        <v>46120.3675347222</v>
      </c>
      <c r="B236" s="11" t="s">
        <v>180</v>
      </c>
      <c r="C236" s="11" t="s">
        <v>20</v>
      </c>
      <c r="D236" s="11" t="s">
        <v>21</v>
      </c>
      <c r="E236" s="0" t="n">
        <v>0</v>
      </c>
      <c r="F236" s="12" t="n">
        <v>499.88</v>
      </c>
      <c r="G236" s="12" t="n">
        <v>41.31</v>
      </c>
      <c r="H236" s="12" t="n">
        <v>-0.48</v>
      </c>
      <c r="I236" s="12" t="n">
        <v>0</v>
      </c>
      <c r="J236" s="12" t="n">
        <f aca="false">G236+H236+I236</f>
        <v>40.83</v>
      </c>
      <c r="K236" s="13" t="n">
        <f aca="false">IF(F236&gt;0,J236/F236,"")</f>
        <v>0.0816796031047452</v>
      </c>
      <c r="L236" s="11" t="s">
        <v>22</v>
      </c>
    </row>
    <row r="237" customFormat="false" ht="15" hidden="false" customHeight="false" outlineLevel="0" collapsed="false">
      <c r="A237" s="10" t="n">
        <v>46120.3736689815</v>
      </c>
      <c r="B237" s="11" t="s">
        <v>181</v>
      </c>
      <c r="C237" s="11" t="s">
        <v>20</v>
      </c>
      <c r="D237" s="11" t="s">
        <v>21</v>
      </c>
      <c r="E237" s="0" t="n">
        <v>0</v>
      </c>
      <c r="F237" s="12" t="n">
        <v>499.99</v>
      </c>
      <c r="G237" s="12" t="n">
        <v>39.74</v>
      </c>
      <c r="H237" s="12" t="n">
        <v>-0.48</v>
      </c>
      <c r="I237" s="12" t="n">
        <v>0</v>
      </c>
      <c r="J237" s="12" t="n">
        <f aca="false">G237+H237+I237</f>
        <v>39.26</v>
      </c>
      <c r="K237" s="13" t="n">
        <f aca="false">IF(F237&gt;0,J237/F237,"")</f>
        <v>0.0785215704314086</v>
      </c>
      <c r="L237" s="11" t="s">
        <v>22</v>
      </c>
    </row>
    <row r="238" customFormat="false" ht="15" hidden="false" customHeight="false" outlineLevel="0" collapsed="false">
      <c r="A238" s="10" t="n">
        <v>46120.6253472222</v>
      </c>
      <c r="B238" s="11" t="s">
        <v>28</v>
      </c>
      <c r="C238" s="11" t="s">
        <v>20</v>
      </c>
      <c r="D238" s="11" t="s">
        <v>21</v>
      </c>
      <c r="E238" s="0" t="n">
        <v>0</v>
      </c>
      <c r="F238" s="12" t="n">
        <v>1000</v>
      </c>
      <c r="G238" s="12" t="n">
        <v>0.08</v>
      </c>
      <c r="H238" s="12" t="n">
        <v>-1</v>
      </c>
      <c r="I238" s="12" t="n">
        <v>10.66</v>
      </c>
      <c r="J238" s="12" t="n">
        <f aca="false">G238+H238+I238</f>
        <v>9.74</v>
      </c>
      <c r="K238" s="13" t="n">
        <f aca="false">IF(F238&gt;0,J238/F238,"")</f>
        <v>0.00974</v>
      </c>
      <c r="L238" s="11" t="s">
        <v>22</v>
      </c>
    </row>
    <row r="239" customFormat="false" ht="15" hidden="false" customHeight="false" outlineLevel="0" collapsed="false">
      <c r="A239" s="10" t="n">
        <v>46120.6402893519</v>
      </c>
      <c r="B239" s="11" t="s">
        <v>118</v>
      </c>
      <c r="C239" s="11" t="s">
        <v>20</v>
      </c>
      <c r="D239" s="11" t="s">
        <v>21</v>
      </c>
      <c r="E239" s="0" t="n">
        <v>0</v>
      </c>
      <c r="F239" s="12" t="n">
        <v>500</v>
      </c>
      <c r="G239" s="12" t="n">
        <v>11.64</v>
      </c>
      <c r="H239" s="12" t="n">
        <v>-0.49</v>
      </c>
      <c r="I239" s="12" t="n">
        <v>0</v>
      </c>
      <c r="J239" s="12" t="n">
        <f aca="false">G239+H239+I239</f>
        <v>11.15</v>
      </c>
      <c r="K239" s="13" t="n">
        <f aca="false">IF(F239&gt;0,J239/F239,"")</f>
        <v>0.0223</v>
      </c>
      <c r="L239" s="11" t="s">
        <v>22</v>
      </c>
    </row>
    <row r="240" customFormat="false" ht="15" hidden="false" customHeight="false" outlineLevel="0" collapsed="false">
      <c r="A240" s="10" t="n">
        <v>46120.649849537</v>
      </c>
      <c r="B240" s="11" t="s">
        <v>136</v>
      </c>
      <c r="C240" s="11" t="s">
        <v>20</v>
      </c>
      <c r="D240" s="11" t="s">
        <v>21</v>
      </c>
      <c r="E240" s="0" t="n">
        <v>0</v>
      </c>
      <c r="F240" s="12" t="n">
        <v>499.91</v>
      </c>
      <c r="G240" s="12" t="n">
        <v>-21.01</v>
      </c>
      <c r="H240" s="12" t="n">
        <v>-0.51</v>
      </c>
      <c r="I240" s="12" t="n">
        <v>0</v>
      </c>
      <c r="J240" s="12" t="n">
        <f aca="false">G240+H240+I240</f>
        <v>-21.52</v>
      </c>
      <c r="K240" s="13" t="n">
        <f aca="false">IF(F240&gt;0,J240/F240,"")</f>
        <v>-0.0430477485947471</v>
      </c>
      <c r="L240" s="11" t="s">
        <v>25</v>
      </c>
    </row>
    <row r="241" customFormat="false" ht="15" hidden="false" customHeight="false" outlineLevel="0" collapsed="false">
      <c r="A241" s="10" t="n">
        <v>46120.6771759259</v>
      </c>
      <c r="B241" s="11" t="s">
        <v>30</v>
      </c>
      <c r="C241" s="11" t="s">
        <v>20</v>
      </c>
      <c r="D241" s="11" t="s">
        <v>21</v>
      </c>
      <c r="E241" s="0" t="n">
        <v>0</v>
      </c>
      <c r="F241" s="12" t="n">
        <v>499.99</v>
      </c>
      <c r="G241" s="12" t="n">
        <v>51.42</v>
      </c>
      <c r="H241" s="12" t="n">
        <v>-0.47</v>
      </c>
      <c r="I241" s="12" t="n">
        <v>0.32</v>
      </c>
      <c r="J241" s="12" t="n">
        <f aca="false">G241+H241+I241</f>
        <v>51.27</v>
      </c>
      <c r="K241" s="13" t="n">
        <f aca="false">IF(F241&gt;0,J241/F241,"")</f>
        <v>0.102542050841017</v>
      </c>
      <c r="L241" s="11" t="s">
        <v>22</v>
      </c>
    </row>
    <row r="242" customFormat="false" ht="15" hidden="false" customHeight="false" outlineLevel="0" collapsed="false">
      <c r="A242" s="10" t="n">
        <v>46120.7358680556</v>
      </c>
      <c r="B242" s="11" t="s">
        <v>122</v>
      </c>
      <c r="C242" s="11" t="s">
        <v>20</v>
      </c>
      <c r="D242" s="11" t="s">
        <v>21</v>
      </c>
      <c r="E242" s="0" t="n">
        <v>0</v>
      </c>
      <c r="F242" s="12" t="n">
        <v>1000</v>
      </c>
      <c r="G242" s="12" t="n">
        <v>39.09</v>
      </c>
      <c r="H242" s="12" t="n">
        <v>-0.98</v>
      </c>
      <c r="I242" s="12" t="n">
        <v>0</v>
      </c>
      <c r="J242" s="12" t="n">
        <f aca="false">G242+H242+I242</f>
        <v>38.11</v>
      </c>
      <c r="K242" s="13" t="n">
        <f aca="false">IF(F242&gt;0,J242/F242,"")</f>
        <v>0.03811</v>
      </c>
      <c r="L242" s="11" t="s">
        <v>22</v>
      </c>
    </row>
    <row r="243" customFormat="false" ht="15" hidden="false" customHeight="false" outlineLevel="0" collapsed="false">
      <c r="A243" s="10" t="n">
        <v>46120.7584722222</v>
      </c>
      <c r="B243" s="11" t="s">
        <v>182</v>
      </c>
      <c r="C243" s="11" t="s">
        <v>20</v>
      </c>
      <c r="D243" s="11" t="s">
        <v>21</v>
      </c>
      <c r="E243" s="0" t="n">
        <v>0</v>
      </c>
      <c r="F243" s="12" t="n">
        <v>999.87</v>
      </c>
      <c r="G243" s="12" t="n">
        <v>48.98</v>
      </c>
      <c r="H243" s="12" t="n">
        <v>-0.98</v>
      </c>
      <c r="I243" s="12" t="n">
        <v>0</v>
      </c>
      <c r="J243" s="12" t="n">
        <f aca="false">G243+H243+I243</f>
        <v>48</v>
      </c>
      <c r="K243" s="13" t="n">
        <f aca="false">IF(F243&gt;0,J243/F243,"")</f>
        <v>0.0480062408113055</v>
      </c>
      <c r="L243" s="11" t="s">
        <v>22</v>
      </c>
    </row>
    <row r="244" customFormat="false" ht="15" hidden="false" customHeight="false" outlineLevel="0" collapsed="false">
      <c r="A244" s="10" t="n">
        <v>46120.7715277778</v>
      </c>
      <c r="B244" s="11" t="s">
        <v>92</v>
      </c>
      <c r="C244" s="11" t="s">
        <v>20</v>
      </c>
      <c r="D244" s="11" t="s">
        <v>21</v>
      </c>
      <c r="E244" s="0" t="n">
        <v>0</v>
      </c>
      <c r="F244" s="12" t="n">
        <v>500</v>
      </c>
      <c r="G244" s="12" t="n">
        <v>24.54</v>
      </c>
      <c r="H244" s="12" t="n">
        <v>-0.49</v>
      </c>
      <c r="I244" s="12" t="n">
        <v>0</v>
      </c>
      <c r="J244" s="12" t="n">
        <f aca="false">G244+H244+I244</f>
        <v>24.05</v>
      </c>
      <c r="K244" s="13" t="n">
        <f aca="false">IF(F244&gt;0,J244/F244,"")</f>
        <v>0.0481</v>
      </c>
      <c r="L244" s="11" t="s">
        <v>22</v>
      </c>
    </row>
    <row r="245" customFormat="false" ht="15" hidden="false" customHeight="false" outlineLevel="0" collapsed="false">
      <c r="A245" s="10" t="n">
        <v>46121.745474537</v>
      </c>
      <c r="B245" s="11" t="s">
        <v>183</v>
      </c>
      <c r="C245" s="11" t="s">
        <v>20</v>
      </c>
      <c r="D245" s="11" t="s">
        <v>21</v>
      </c>
      <c r="E245" s="0" t="n">
        <v>0</v>
      </c>
      <c r="F245" s="12" t="n">
        <v>499.98</v>
      </c>
      <c r="G245" s="12" t="n">
        <v>-0.15</v>
      </c>
      <c r="H245" s="12" t="n">
        <v>-0.5</v>
      </c>
      <c r="I245" s="12" t="n">
        <v>0</v>
      </c>
      <c r="J245" s="12" t="n">
        <f aca="false">G245+H245+I245</f>
        <v>-0.65</v>
      </c>
      <c r="K245" s="13" t="n">
        <f aca="false">IF(F245&gt;0,J245/F245,"")</f>
        <v>-0.00130005200208008</v>
      </c>
      <c r="L245" s="11" t="s">
        <v>25</v>
      </c>
    </row>
    <row r="246" customFormat="false" ht="15" hidden="false" customHeight="false" outlineLevel="0" collapsed="false">
      <c r="A246" s="10" t="n">
        <v>46122.3560648148</v>
      </c>
      <c r="B246" s="11" t="s">
        <v>184</v>
      </c>
      <c r="C246" s="11" t="s">
        <v>20</v>
      </c>
      <c r="D246" s="11" t="s">
        <v>21</v>
      </c>
      <c r="E246" s="0" t="n">
        <v>0</v>
      </c>
      <c r="F246" s="12" t="n">
        <v>1000</v>
      </c>
      <c r="G246" s="12" t="n">
        <v>101.93</v>
      </c>
      <c r="H246" s="12" t="n">
        <v>-0.95</v>
      </c>
      <c r="I246" s="12" t="n">
        <v>0</v>
      </c>
      <c r="J246" s="12" t="n">
        <f aca="false">G246+H246+I246</f>
        <v>100.98</v>
      </c>
      <c r="K246" s="13" t="n">
        <f aca="false">IF(F246&gt;0,J246/F246,"")</f>
        <v>0.10098</v>
      </c>
      <c r="L246" s="11" t="s">
        <v>22</v>
      </c>
    </row>
    <row r="247" customFormat="false" ht="15" hidden="false" customHeight="false" outlineLevel="0" collapsed="false">
      <c r="A247" s="10" t="n">
        <v>46122.4026967593</v>
      </c>
      <c r="B247" s="11" t="s">
        <v>185</v>
      </c>
      <c r="C247" s="11" t="s">
        <v>169</v>
      </c>
      <c r="D247" s="11" t="s">
        <v>21</v>
      </c>
      <c r="E247" s="0" t="n">
        <v>0</v>
      </c>
      <c r="F247" s="12" t="n">
        <v>500</v>
      </c>
      <c r="G247" s="12" t="n">
        <v>50.43</v>
      </c>
      <c r="H247" s="12" t="n">
        <v>-0.53</v>
      </c>
      <c r="I247" s="12" t="n">
        <v>-0.1</v>
      </c>
      <c r="J247" s="12" t="n">
        <f aca="false">G247+H247+I247</f>
        <v>49.8</v>
      </c>
      <c r="K247" s="13" t="n">
        <f aca="false">IF(F247&gt;0,J247/F247,"")</f>
        <v>0.0996</v>
      </c>
      <c r="L247" s="11" t="s">
        <v>22</v>
      </c>
    </row>
    <row r="248" customFormat="false" ht="15" hidden="false" customHeight="false" outlineLevel="0" collapsed="false">
      <c r="A248" s="10" t="n">
        <v>46122.4501967593</v>
      </c>
      <c r="B248" s="11" t="s">
        <v>186</v>
      </c>
      <c r="C248" s="11" t="s">
        <v>20</v>
      </c>
      <c r="D248" s="11" t="s">
        <v>21</v>
      </c>
      <c r="E248" s="0" t="n">
        <v>0</v>
      </c>
      <c r="F248" s="12" t="n">
        <v>499.98</v>
      </c>
      <c r="G248" s="12" t="n">
        <v>42.68</v>
      </c>
      <c r="H248" s="12" t="n">
        <v>-0.48</v>
      </c>
      <c r="I248" s="12" t="n">
        <v>0</v>
      </c>
      <c r="J248" s="12" t="n">
        <f aca="false">G248+H248+I248</f>
        <v>42.2</v>
      </c>
      <c r="K248" s="13" t="n">
        <f aca="false">IF(F248&gt;0,J248/F248,"")</f>
        <v>0.0844033761350454</v>
      </c>
      <c r="L248" s="11" t="s">
        <v>22</v>
      </c>
    </row>
    <row r="249" customFormat="false" ht="15" hidden="false" customHeight="false" outlineLevel="0" collapsed="false">
      <c r="A249" s="10" t="n">
        <v>46122.5136111111</v>
      </c>
      <c r="B249" s="11" t="s">
        <v>187</v>
      </c>
      <c r="C249" s="11" t="s">
        <v>20</v>
      </c>
      <c r="D249" s="11" t="s">
        <v>21</v>
      </c>
      <c r="E249" s="0" t="n">
        <v>1</v>
      </c>
      <c r="F249" s="12" t="n">
        <v>399.05</v>
      </c>
      <c r="G249" s="12" t="n">
        <v>-32.2</v>
      </c>
      <c r="H249" s="12" t="n">
        <v>-10.98</v>
      </c>
      <c r="I249" s="12" t="n">
        <v>0.06</v>
      </c>
      <c r="J249" s="12" t="n">
        <f aca="false">G249+H249+I249</f>
        <v>-43.12</v>
      </c>
      <c r="K249" s="13" t="n">
        <f aca="false">IF(F249&gt;0,J249/F249,"")</f>
        <v>-0.108056634506954</v>
      </c>
      <c r="L249" s="11" t="s">
        <v>153</v>
      </c>
    </row>
    <row r="250" customFormat="false" ht="15" hidden="false" customHeight="false" outlineLevel="0" collapsed="false">
      <c r="A250" s="10" t="n">
        <v>46122.5236574074</v>
      </c>
      <c r="B250" s="11" t="s">
        <v>188</v>
      </c>
      <c r="C250" s="11" t="s">
        <v>20</v>
      </c>
      <c r="D250" s="11" t="s">
        <v>21</v>
      </c>
      <c r="E250" s="0" t="n">
        <v>0</v>
      </c>
      <c r="F250" s="12" t="n">
        <v>999.61</v>
      </c>
      <c r="G250" s="12" t="n">
        <v>-1.48</v>
      </c>
      <c r="H250" s="12" t="n">
        <v>-1</v>
      </c>
      <c r="I250" s="12" t="n">
        <v>0</v>
      </c>
      <c r="J250" s="12" t="n">
        <f aca="false">G250+H250+I250</f>
        <v>-2.48</v>
      </c>
      <c r="K250" s="13" t="n">
        <f aca="false">IF(F250&gt;0,J250/F250,"")</f>
        <v>-0.00248096757735517</v>
      </c>
      <c r="L250" s="11" t="s">
        <v>25</v>
      </c>
    </row>
    <row r="251" customFormat="false" ht="15" hidden="false" customHeight="false" outlineLevel="0" collapsed="false">
      <c r="A251" s="10" t="n">
        <v>46122.5238310185</v>
      </c>
      <c r="B251" s="11" t="s">
        <v>189</v>
      </c>
      <c r="C251" s="11" t="s">
        <v>20</v>
      </c>
      <c r="D251" s="11" t="s">
        <v>21</v>
      </c>
      <c r="E251" s="0" t="n">
        <v>0</v>
      </c>
      <c r="F251" s="12" t="n">
        <v>500</v>
      </c>
      <c r="G251" s="12" t="n">
        <v>18.37</v>
      </c>
      <c r="H251" s="12" t="n">
        <v>-0.49</v>
      </c>
      <c r="I251" s="12" t="n">
        <v>0</v>
      </c>
      <c r="J251" s="12" t="n">
        <f aca="false">G251+H251+I251</f>
        <v>17.88</v>
      </c>
      <c r="K251" s="13" t="n">
        <f aca="false">IF(F251&gt;0,J251/F251,"")</f>
        <v>0.03576</v>
      </c>
      <c r="L251" s="11" t="s">
        <v>22</v>
      </c>
    </row>
    <row r="252" customFormat="false" ht="15" hidden="false" customHeight="false" outlineLevel="0" collapsed="false">
      <c r="A252" s="10" t="n">
        <v>46122.5258217593</v>
      </c>
      <c r="B252" s="11" t="s">
        <v>187</v>
      </c>
      <c r="C252" s="11" t="s">
        <v>20</v>
      </c>
      <c r="D252" s="11" t="s">
        <v>21</v>
      </c>
      <c r="E252" s="0" t="n">
        <v>0</v>
      </c>
      <c r="F252" s="12" t="n">
        <v>199.14</v>
      </c>
      <c r="G252" s="12" t="n">
        <v>-15.8</v>
      </c>
      <c r="H252" s="12" t="n">
        <v>-5.47</v>
      </c>
      <c r="I252" s="12" t="n">
        <v>0</v>
      </c>
      <c r="J252" s="12" t="n">
        <f aca="false">G252+H252+I252</f>
        <v>-21.27</v>
      </c>
      <c r="K252" s="13" t="n">
        <f aca="false">IF(F252&gt;0,J252/F252,"")</f>
        <v>-0.106809279903585</v>
      </c>
      <c r="L252" s="11" t="s">
        <v>153</v>
      </c>
    </row>
    <row r="253" customFormat="false" ht="15" hidden="false" customHeight="false" outlineLevel="0" collapsed="false">
      <c r="A253" s="10" t="n">
        <v>46122.6862731482</v>
      </c>
      <c r="B253" s="11" t="s">
        <v>190</v>
      </c>
      <c r="C253" s="11" t="s">
        <v>20</v>
      </c>
      <c r="D253" s="11" t="s">
        <v>21</v>
      </c>
      <c r="E253" s="0" t="n">
        <v>0</v>
      </c>
      <c r="F253" s="12" t="n">
        <v>499.87</v>
      </c>
      <c r="G253" s="12" t="n">
        <v>10.44</v>
      </c>
      <c r="H253" s="12" t="n">
        <v>-0.49</v>
      </c>
      <c r="I253" s="12" t="n">
        <v>-2.62</v>
      </c>
      <c r="J253" s="12" t="n">
        <f aca="false">G253+H253+I253</f>
        <v>7.33</v>
      </c>
      <c r="K253" s="13" t="n">
        <f aca="false">IF(F253&gt;0,J253/F253,"")</f>
        <v>0.0146638125912737</v>
      </c>
      <c r="L253" s="11" t="s">
        <v>22</v>
      </c>
    </row>
    <row r="254" customFormat="false" ht="15" hidden="false" customHeight="false" outlineLevel="0" collapsed="false">
      <c r="A254" s="10" t="n">
        <v>46122.7758564815</v>
      </c>
      <c r="B254" s="11" t="s">
        <v>191</v>
      </c>
      <c r="C254" s="11" t="s">
        <v>20</v>
      </c>
      <c r="D254" s="11" t="s">
        <v>21</v>
      </c>
      <c r="E254" s="0" t="n">
        <v>1</v>
      </c>
      <c r="F254" s="12" t="n">
        <v>1498.01</v>
      </c>
      <c r="G254" s="12" t="n">
        <v>36.78</v>
      </c>
      <c r="H254" s="12" t="n">
        <v>-1.18</v>
      </c>
      <c r="I254" s="12" t="n">
        <v>-39.58</v>
      </c>
      <c r="J254" s="12" t="n">
        <f aca="false">G254+H254+I254</f>
        <v>-3.98</v>
      </c>
      <c r="K254" s="13" t="n">
        <f aca="false">IF(F254&gt;0,J254/F254,"")</f>
        <v>-0.00265685809841056</v>
      </c>
      <c r="L254" s="11" t="s">
        <v>25</v>
      </c>
    </row>
    <row r="255" customFormat="false" ht="15" hidden="false" customHeight="false" outlineLevel="0" collapsed="false">
      <c r="A255" s="10" t="n">
        <v>46122.7826851852</v>
      </c>
      <c r="B255" s="11" t="s">
        <v>192</v>
      </c>
      <c r="C255" s="11" t="s">
        <v>20</v>
      </c>
      <c r="D255" s="11" t="s">
        <v>21</v>
      </c>
      <c r="E255" s="0" t="n">
        <v>1</v>
      </c>
      <c r="F255" s="12" t="n">
        <v>999.8</v>
      </c>
      <c r="G255" s="12" t="n">
        <v>-95.24</v>
      </c>
      <c r="H255" s="12" t="n">
        <v>-27.88</v>
      </c>
      <c r="I255" s="12" t="n">
        <v>0</v>
      </c>
      <c r="J255" s="12" t="n">
        <f aca="false">G255+H255+I255</f>
        <v>-123.12</v>
      </c>
      <c r="K255" s="13" t="n">
        <f aca="false">IF(F255&gt;0,J255/F255,"")</f>
        <v>-0.123144628925785</v>
      </c>
      <c r="L255" s="11" t="s">
        <v>153</v>
      </c>
    </row>
    <row r="256" customFormat="false" ht="15" hidden="false" customHeight="false" outlineLevel="0" collapsed="false">
      <c r="A256" s="10" t="n">
        <v>46122.8785416667</v>
      </c>
      <c r="B256" s="11" t="s">
        <v>193</v>
      </c>
      <c r="C256" s="11" t="s">
        <v>20</v>
      </c>
      <c r="D256" s="11" t="s">
        <v>21</v>
      </c>
      <c r="E256" s="0" t="n">
        <v>0</v>
      </c>
      <c r="F256" s="12" t="n">
        <v>499.99</v>
      </c>
      <c r="G256" s="12" t="n">
        <v>31.04</v>
      </c>
      <c r="H256" s="12" t="n">
        <v>-0.48</v>
      </c>
      <c r="I256" s="12" t="n">
        <v>0</v>
      </c>
      <c r="J256" s="12" t="n">
        <f aca="false">G256+H256+I256</f>
        <v>30.56</v>
      </c>
      <c r="K256" s="13" t="n">
        <f aca="false">IF(F256&gt;0,J256/F256,"")</f>
        <v>0.0611212224244485</v>
      </c>
      <c r="L256" s="11" t="s">
        <v>22</v>
      </c>
    </row>
    <row r="257" customFormat="false" ht="15" hidden="false" customHeight="false" outlineLevel="0" collapsed="false">
      <c r="A257" s="10" t="n">
        <v>46122.9084606482</v>
      </c>
      <c r="B257" s="11" t="s">
        <v>39</v>
      </c>
      <c r="C257" s="11" t="s">
        <v>20</v>
      </c>
      <c r="D257" s="11" t="s">
        <v>21</v>
      </c>
      <c r="E257" s="0" t="n">
        <v>1</v>
      </c>
      <c r="F257" s="12" t="n">
        <v>1000</v>
      </c>
      <c r="G257" s="12" t="n">
        <v>31.34</v>
      </c>
      <c r="H257" s="12" t="n">
        <v>-0.98</v>
      </c>
      <c r="I257" s="12" t="n">
        <v>0</v>
      </c>
      <c r="J257" s="12" t="n">
        <f aca="false">G257+H257+I257</f>
        <v>30.36</v>
      </c>
      <c r="K257" s="13" t="n">
        <f aca="false">IF(F257&gt;0,J257/F257,"")</f>
        <v>0.03036</v>
      </c>
      <c r="L257" s="11" t="s">
        <v>29</v>
      </c>
    </row>
    <row r="258" customFormat="false" ht="15" hidden="false" customHeight="false" outlineLevel="0" collapsed="false">
      <c r="A258" s="10" t="n">
        <v>46123.0044560185</v>
      </c>
      <c r="B258" s="11" t="s">
        <v>194</v>
      </c>
      <c r="C258" s="11" t="s">
        <v>20</v>
      </c>
      <c r="D258" s="11" t="s">
        <v>21</v>
      </c>
      <c r="E258" s="0" t="n">
        <v>0</v>
      </c>
      <c r="F258" s="12" t="n">
        <v>500</v>
      </c>
      <c r="G258" s="12" t="n">
        <v>-3.93</v>
      </c>
      <c r="H258" s="12" t="n">
        <v>-0.5</v>
      </c>
      <c r="I258" s="12" t="n">
        <v>0</v>
      </c>
      <c r="J258" s="12" t="n">
        <f aca="false">G258+H258+I258</f>
        <v>-4.43</v>
      </c>
      <c r="K258" s="13" t="n">
        <f aca="false">IF(F258&gt;0,J258/F258,"")</f>
        <v>-0.00886</v>
      </c>
      <c r="L258" s="11" t="s">
        <v>25</v>
      </c>
    </row>
    <row r="259" customFormat="false" ht="15" hidden="false" customHeight="false" outlineLevel="0" collapsed="false">
      <c r="A259" s="10" t="n">
        <v>46123.0089699074</v>
      </c>
      <c r="B259" s="11" t="s">
        <v>194</v>
      </c>
      <c r="C259" s="11" t="s">
        <v>20</v>
      </c>
      <c r="D259" s="11" t="s">
        <v>21</v>
      </c>
      <c r="E259" s="0" t="n">
        <v>0</v>
      </c>
      <c r="F259" s="12" t="n">
        <v>1000</v>
      </c>
      <c r="G259" s="12" t="n">
        <v>-11</v>
      </c>
      <c r="H259" s="12" t="n">
        <v>-1.01</v>
      </c>
      <c r="I259" s="12" t="n">
        <v>0</v>
      </c>
      <c r="J259" s="12" t="n">
        <f aca="false">G259+H259+I259</f>
        <v>-12.01</v>
      </c>
      <c r="K259" s="13" t="n">
        <f aca="false">IF(F259&gt;0,J259/F259,"")</f>
        <v>-0.01201</v>
      </c>
      <c r="L259" s="11" t="s">
        <v>25</v>
      </c>
    </row>
    <row r="260" customFormat="false" ht="15" hidden="false" customHeight="false" outlineLevel="0" collapsed="false">
      <c r="A260" s="10" t="n">
        <v>46123.0138078704</v>
      </c>
      <c r="B260" s="11" t="s">
        <v>194</v>
      </c>
      <c r="C260" s="11" t="s">
        <v>20</v>
      </c>
      <c r="D260" s="11" t="s">
        <v>21</v>
      </c>
      <c r="E260" s="0" t="n">
        <v>0</v>
      </c>
      <c r="F260" s="12" t="n">
        <v>500</v>
      </c>
      <c r="G260" s="12" t="n">
        <v>5.61</v>
      </c>
      <c r="H260" s="12" t="n">
        <v>-0.5</v>
      </c>
      <c r="I260" s="12" t="n">
        <v>0</v>
      </c>
      <c r="J260" s="12" t="n">
        <f aca="false">G260+H260+I260</f>
        <v>5.11</v>
      </c>
      <c r="K260" s="13" t="n">
        <f aca="false">IF(F260&gt;0,J260/F260,"")</f>
        <v>0.01022</v>
      </c>
      <c r="L260" s="11" t="s">
        <v>22</v>
      </c>
    </row>
    <row r="261" customFormat="false" ht="15" hidden="false" customHeight="false" outlineLevel="0" collapsed="false">
      <c r="A261" s="10" t="n">
        <v>46123.4939467593</v>
      </c>
      <c r="B261" s="11" t="s">
        <v>108</v>
      </c>
      <c r="C261" s="11" t="s">
        <v>20</v>
      </c>
      <c r="D261" s="11" t="s">
        <v>21</v>
      </c>
      <c r="E261" s="0" t="n">
        <v>0</v>
      </c>
      <c r="F261" s="12" t="n">
        <v>499.88</v>
      </c>
      <c r="G261" s="12" t="n">
        <v>31.07</v>
      </c>
      <c r="H261" s="12" t="n">
        <v>-0.48</v>
      </c>
      <c r="I261" s="12" t="n">
        <v>0</v>
      </c>
      <c r="J261" s="12" t="n">
        <f aca="false">G261+H261+I261</f>
        <v>30.59</v>
      </c>
      <c r="K261" s="13" t="n">
        <f aca="false">IF(F261&gt;0,J261/F261,"")</f>
        <v>0.061194686724814</v>
      </c>
      <c r="L261" s="11" t="s">
        <v>22</v>
      </c>
    </row>
    <row r="262" customFormat="false" ht="15" hidden="false" customHeight="false" outlineLevel="0" collapsed="false">
      <c r="A262" s="10" t="n">
        <v>46123.6150694444</v>
      </c>
      <c r="B262" s="11" t="s">
        <v>84</v>
      </c>
      <c r="C262" s="11" t="s">
        <v>20</v>
      </c>
      <c r="D262" s="11" t="s">
        <v>21</v>
      </c>
      <c r="E262" s="0" t="n">
        <v>0</v>
      </c>
      <c r="F262" s="12" t="n">
        <v>499.98</v>
      </c>
      <c r="G262" s="12" t="n">
        <v>25.14</v>
      </c>
      <c r="H262" s="12" t="n">
        <v>-0.49</v>
      </c>
      <c r="I262" s="12" t="n">
        <v>0</v>
      </c>
      <c r="J262" s="12" t="n">
        <f aca="false">G262+H262+I262</f>
        <v>24.65</v>
      </c>
      <c r="K262" s="13" t="n">
        <f aca="false">IF(F262&gt;0,J262/F262,"")</f>
        <v>0.0493019720788832</v>
      </c>
      <c r="L262" s="11" t="s">
        <v>22</v>
      </c>
    </row>
    <row r="263" customFormat="false" ht="15" hidden="false" customHeight="false" outlineLevel="0" collapsed="false">
      <c r="A263" s="10" t="n">
        <v>46123.6461574074</v>
      </c>
      <c r="B263" s="11" t="s">
        <v>195</v>
      </c>
      <c r="C263" s="11" t="s">
        <v>20</v>
      </c>
      <c r="D263" s="11" t="s">
        <v>21</v>
      </c>
      <c r="E263" s="0" t="n">
        <v>0</v>
      </c>
      <c r="F263" s="12" t="n">
        <v>980.88</v>
      </c>
      <c r="G263" s="12" t="n">
        <v>-4.22</v>
      </c>
      <c r="H263" s="12" t="n">
        <v>-0.69</v>
      </c>
      <c r="I263" s="12" t="n">
        <v>0</v>
      </c>
      <c r="J263" s="12" t="n">
        <f aca="false">G263+H263+I263</f>
        <v>-4.91</v>
      </c>
      <c r="K263" s="13" t="n">
        <f aca="false">IF(F263&gt;0,J263/F263,"")</f>
        <v>-0.00500570915912242</v>
      </c>
      <c r="L263" s="11" t="s">
        <v>25</v>
      </c>
    </row>
    <row r="264" customFormat="false" ht="15" hidden="false" customHeight="false" outlineLevel="0" collapsed="false">
      <c r="A264" s="10" t="n">
        <v>46123.6780439815</v>
      </c>
      <c r="B264" s="11" t="s">
        <v>196</v>
      </c>
      <c r="C264" s="11" t="s">
        <v>169</v>
      </c>
      <c r="D264" s="11" t="s">
        <v>21</v>
      </c>
      <c r="E264" s="0" t="n">
        <v>0</v>
      </c>
      <c r="F264" s="12" t="n">
        <v>471.61</v>
      </c>
      <c r="G264" s="12" t="n">
        <v>51.18</v>
      </c>
      <c r="H264" s="12" t="n">
        <v>-0.36</v>
      </c>
      <c r="I264" s="12" t="n">
        <v>0</v>
      </c>
      <c r="J264" s="12" t="n">
        <f aca="false">G264+H264+I264</f>
        <v>50.82</v>
      </c>
      <c r="K264" s="13" t="n">
        <f aca="false">IF(F264&gt;0,J264/F264,"")</f>
        <v>0.107758529293272</v>
      </c>
      <c r="L264" s="11" t="s">
        <v>22</v>
      </c>
    </row>
    <row r="265" customFormat="false" ht="15" hidden="false" customHeight="false" outlineLevel="0" collapsed="false">
      <c r="A265" s="10" t="n">
        <v>46123.7689236111</v>
      </c>
      <c r="B265" s="11" t="s">
        <v>197</v>
      </c>
      <c r="C265" s="11" t="s">
        <v>20</v>
      </c>
      <c r="D265" s="11" t="s">
        <v>21</v>
      </c>
      <c r="E265" s="0" t="n">
        <v>0</v>
      </c>
      <c r="F265" s="12" t="n">
        <v>1000</v>
      </c>
      <c r="G265" s="12" t="n">
        <v>51.42</v>
      </c>
      <c r="H265" s="12" t="n">
        <v>-0.97</v>
      </c>
      <c r="I265" s="12" t="n">
        <v>0</v>
      </c>
      <c r="J265" s="12" t="n">
        <f aca="false">G265+H265+I265</f>
        <v>50.45</v>
      </c>
      <c r="K265" s="13" t="n">
        <f aca="false">IF(F265&gt;0,J265/F265,"")</f>
        <v>0.05045</v>
      </c>
      <c r="L265" s="11" t="s">
        <v>22</v>
      </c>
    </row>
    <row r="266" customFormat="false" ht="15" hidden="false" customHeight="false" outlineLevel="0" collapsed="false">
      <c r="A266" s="10" t="n">
        <v>46123.817025463</v>
      </c>
      <c r="B266" s="11" t="s">
        <v>198</v>
      </c>
      <c r="C266" s="11" t="s">
        <v>169</v>
      </c>
      <c r="D266" s="11" t="s">
        <v>21</v>
      </c>
      <c r="E266" s="0" t="n">
        <v>0</v>
      </c>
      <c r="F266" s="12" t="n">
        <v>999.99</v>
      </c>
      <c r="G266" s="12" t="n">
        <v>1.84</v>
      </c>
      <c r="H266" s="12" t="n">
        <v>-1</v>
      </c>
      <c r="I266" s="12" t="n">
        <v>-0.08</v>
      </c>
      <c r="J266" s="12" t="n">
        <f aca="false">G266+H266+I266</f>
        <v>0.76</v>
      </c>
      <c r="K266" s="13" t="n">
        <f aca="false">IF(F266&gt;0,J266/F266,"")</f>
        <v>0.000760007600076001</v>
      </c>
      <c r="L266" s="11" t="s">
        <v>22</v>
      </c>
    </row>
    <row r="267" customFormat="false" ht="15" hidden="false" customHeight="false" outlineLevel="0" collapsed="false">
      <c r="A267" s="10" t="n">
        <v>46123.9054861111</v>
      </c>
      <c r="B267" s="11" t="s">
        <v>109</v>
      </c>
      <c r="C267" s="11" t="s">
        <v>20</v>
      </c>
      <c r="D267" s="11" t="s">
        <v>141</v>
      </c>
      <c r="E267" s="0" t="n">
        <v>0</v>
      </c>
      <c r="F267" s="12" t="n">
        <v>999.98</v>
      </c>
      <c r="G267" s="12" t="n">
        <v>38.83</v>
      </c>
      <c r="H267" s="12" t="n">
        <v>-0.98</v>
      </c>
      <c r="I267" s="12" t="n">
        <v>0</v>
      </c>
      <c r="J267" s="12" t="n">
        <f aca="false">G267+H267+I267</f>
        <v>37.85</v>
      </c>
      <c r="K267" s="13" t="n">
        <f aca="false">IF(F267&gt;0,J267/F267,"")</f>
        <v>0.0378507570151403</v>
      </c>
      <c r="L267" s="11" t="s">
        <v>22</v>
      </c>
    </row>
    <row r="268" customFormat="false" ht="15" hidden="false" customHeight="false" outlineLevel="0" collapsed="false">
      <c r="A268" s="10" t="n">
        <v>46124.0651736111</v>
      </c>
      <c r="B268" s="11" t="s">
        <v>199</v>
      </c>
      <c r="C268" s="11" t="s">
        <v>169</v>
      </c>
      <c r="D268" s="11" t="s">
        <v>21</v>
      </c>
      <c r="E268" s="0" t="n">
        <v>0</v>
      </c>
      <c r="F268" s="12" t="n">
        <v>999.99</v>
      </c>
      <c r="G268" s="12" t="n">
        <v>-61.88</v>
      </c>
      <c r="H268" s="12" t="n">
        <v>-0.67</v>
      </c>
      <c r="I268" s="12" t="n">
        <v>-0.18</v>
      </c>
      <c r="J268" s="12" t="n">
        <f aca="false">G268+H268+I268</f>
        <v>-62.73</v>
      </c>
      <c r="K268" s="13" t="n">
        <f aca="false">IF(F268&gt;0,J268/F268,"")</f>
        <v>-0.0627306273062731</v>
      </c>
      <c r="L268" s="11" t="s">
        <v>25</v>
      </c>
    </row>
    <row r="269" customFormat="false" ht="15" hidden="false" customHeight="false" outlineLevel="0" collapsed="false">
      <c r="A269" s="10" t="n">
        <v>46124.1180092593</v>
      </c>
      <c r="B269" s="11" t="s">
        <v>28</v>
      </c>
      <c r="C269" s="11" t="s">
        <v>20</v>
      </c>
      <c r="D269" s="11" t="s">
        <v>21</v>
      </c>
      <c r="E269" s="0" t="n">
        <v>2</v>
      </c>
      <c r="F269" s="12" t="n">
        <v>1500</v>
      </c>
      <c r="G269" s="12" t="n">
        <v>121.77</v>
      </c>
      <c r="H269" s="12" t="n">
        <v>-1.29</v>
      </c>
      <c r="I269" s="12" t="n">
        <v>3.15</v>
      </c>
      <c r="J269" s="12" t="n">
        <f aca="false">G269+H269+I269</f>
        <v>123.63</v>
      </c>
      <c r="K269" s="13" t="n">
        <f aca="false">IF(F269&gt;0,J269/F269,"")</f>
        <v>0.08242</v>
      </c>
      <c r="L269" s="11" t="s">
        <v>61</v>
      </c>
    </row>
    <row r="270" customFormat="false" ht="15" hidden="false" customHeight="false" outlineLevel="0" collapsed="false">
      <c r="A270" s="10" t="n">
        <v>46124.2854861111</v>
      </c>
      <c r="B270" s="11" t="s">
        <v>187</v>
      </c>
      <c r="C270" s="11" t="s">
        <v>20</v>
      </c>
      <c r="D270" s="11" t="s">
        <v>21</v>
      </c>
      <c r="E270" s="0" t="n">
        <v>0</v>
      </c>
      <c r="F270" s="12" t="n">
        <v>49.6</v>
      </c>
      <c r="G270" s="12" t="n">
        <v>-47.83</v>
      </c>
      <c r="H270" s="12" t="n">
        <v>-2.46</v>
      </c>
      <c r="I270" s="12" t="n">
        <v>-0.94</v>
      </c>
      <c r="J270" s="12" t="n">
        <f aca="false">G270+H270+I270</f>
        <v>-51.23</v>
      </c>
      <c r="K270" s="13" t="n">
        <f aca="false">IF(F270&gt;0,J270/F270,"")</f>
        <v>-1.03286290322581</v>
      </c>
      <c r="L270" s="11" t="s">
        <v>153</v>
      </c>
    </row>
    <row r="271" customFormat="false" ht="15" hidden="false" customHeight="false" outlineLevel="0" collapsed="false">
      <c r="A271" s="10" t="n">
        <v>46124.3615740741</v>
      </c>
      <c r="B271" s="11" t="s">
        <v>200</v>
      </c>
      <c r="C271" s="11" t="s">
        <v>20</v>
      </c>
      <c r="D271" s="11" t="s">
        <v>21</v>
      </c>
      <c r="E271" s="0" t="n">
        <v>0</v>
      </c>
      <c r="F271" s="12" t="n">
        <v>999.86</v>
      </c>
      <c r="G271" s="12" t="n">
        <v>-7.87</v>
      </c>
      <c r="H271" s="12" t="n">
        <v>-1</v>
      </c>
      <c r="I271" s="12" t="n">
        <v>0</v>
      </c>
      <c r="J271" s="12" t="n">
        <f aca="false">G271+H271+I271</f>
        <v>-8.87</v>
      </c>
      <c r="K271" s="13" t="n">
        <f aca="false">IF(F271&gt;0,J271/F271,"")</f>
        <v>-0.00887124197387634</v>
      </c>
      <c r="L271" s="11" t="s">
        <v>25</v>
      </c>
    </row>
    <row r="272" customFormat="false" ht="15" hidden="false" customHeight="false" outlineLevel="0" collapsed="false">
      <c r="A272" s="10" t="n">
        <v>46124.4074305556</v>
      </c>
      <c r="B272" s="11" t="s">
        <v>148</v>
      </c>
      <c r="C272" s="11" t="s">
        <v>20</v>
      </c>
      <c r="D272" s="11" t="s">
        <v>21</v>
      </c>
      <c r="E272" s="0" t="n">
        <v>2</v>
      </c>
      <c r="F272" s="12" t="n">
        <v>1499.14</v>
      </c>
      <c r="G272" s="12" t="n">
        <v>82.5</v>
      </c>
      <c r="H272" s="12" t="n">
        <v>-1.16</v>
      </c>
      <c r="I272" s="12" t="n">
        <v>0</v>
      </c>
      <c r="J272" s="12" t="n">
        <f aca="false">G272+H272+I272</f>
        <v>81.34</v>
      </c>
      <c r="K272" s="13" t="n">
        <f aca="false">IF(F272&gt;0,J272/F272,"")</f>
        <v>0.0542577744573556</v>
      </c>
      <c r="L272" s="11" t="s">
        <v>61</v>
      </c>
    </row>
    <row r="273" customFormat="false" ht="15" hidden="false" customHeight="false" outlineLevel="0" collapsed="false">
      <c r="A273" s="10" t="n">
        <v>46124.4359722222</v>
      </c>
      <c r="B273" s="11" t="s">
        <v>201</v>
      </c>
      <c r="C273" s="11" t="s">
        <v>20</v>
      </c>
      <c r="D273" s="11" t="s">
        <v>21</v>
      </c>
      <c r="E273" s="0" t="n">
        <v>0</v>
      </c>
      <c r="F273" s="12" t="n">
        <v>1019.26</v>
      </c>
      <c r="G273" s="12" t="n">
        <v>87.48</v>
      </c>
      <c r="H273" s="12" t="n">
        <v>-0.67</v>
      </c>
      <c r="I273" s="12" t="n">
        <v>0</v>
      </c>
      <c r="J273" s="12" t="n">
        <f aca="false">G273+H273+I273</f>
        <v>86.81</v>
      </c>
      <c r="K273" s="13" t="n">
        <f aca="false">IF(F273&gt;0,J273/F273,"")</f>
        <v>0.0851696328709063</v>
      </c>
      <c r="L273" s="11" t="s">
        <v>22</v>
      </c>
    </row>
    <row r="274" customFormat="false" ht="15" hidden="false" customHeight="false" outlineLevel="0" collapsed="false">
      <c r="A274" s="10" t="n">
        <v>46124.4528009259</v>
      </c>
      <c r="B274" s="11" t="s">
        <v>196</v>
      </c>
      <c r="C274" s="11" t="s">
        <v>20</v>
      </c>
      <c r="D274" s="11" t="s">
        <v>21</v>
      </c>
      <c r="E274" s="0" t="n">
        <v>0</v>
      </c>
      <c r="F274" s="12" t="n">
        <v>497.18</v>
      </c>
      <c r="G274" s="12" t="n">
        <v>0.87</v>
      </c>
      <c r="H274" s="12" t="n">
        <v>-0.5</v>
      </c>
      <c r="I274" s="12" t="n">
        <v>0</v>
      </c>
      <c r="J274" s="12" t="n">
        <f aca="false">G274+H274+I274</f>
        <v>0.37</v>
      </c>
      <c r="K274" s="13" t="n">
        <f aca="false">IF(F274&gt;0,J274/F274,"")</f>
        <v>0.000744197272617563</v>
      </c>
      <c r="L274" s="11" t="s">
        <v>22</v>
      </c>
    </row>
    <row r="275" customFormat="false" ht="15" hidden="false" customHeight="false" outlineLevel="0" collapsed="false">
      <c r="A275" s="10" t="n">
        <v>46124.4677430556</v>
      </c>
      <c r="B275" s="11" t="s">
        <v>184</v>
      </c>
      <c r="C275" s="11" t="s">
        <v>20</v>
      </c>
      <c r="D275" s="11" t="s">
        <v>21</v>
      </c>
      <c r="E275" s="0" t="n">
        <v>0</v>
      </c>
      <c r="F275" s="12" t="n">
        <v>500</v>
      </c>
      <c r="G275" s="12" t="n">
        <v>10.87</v>
      </c>
      <c r="H275" s="12" t="n">
        <v>-0.49</v>
      </c>
      <c r="I275" s="12" t="n">
        <v>0</v>
      </c>
      <c r="J275" s="12" t="n">
        <f aca="false">G275+H275+I275</f>
        <v>10.38</v>
      </c>
      <c r="K275" s="13" t="n">
        <f aca="false">IF(F275&gt;0,J275/F275,"")</f>
        <v>0.02076</v>
      </c>
      <c r="L275" s="11" t="s">
        <v>22</v>
      </c>
    </row>
    <row r="276" customFormat="false" ht="15" hidden="false" customHeight="false" outlineLevel="0" collapsed="false">
      <c r="A276" s="10" t="n">
        <v>46124.6006828704</v>
      </c>
      <c r="B276" s="11" t="s">
        <v>193</v>
      </c>
      <c r="C276" s="11" t="s">
        <v>20</v>
      </c>
      <c r="D276" s="11" t="s">
        <v>21</v>
      </c>
      <c r="E276" s="0" t="n">
        <v>0</v>
      </c>
      <c r="F276" s="12" t="n">
        <v>499.99</v>
      </c>
      <c r="G276" s="12" t="n">
        <v>36.12</v>
      </c>
      <c r="H276" s="12" t="n">
        <v>-0.48</v>
      </c>
      <c r="I276" s="12" t="n">
        <v>0</v>
      </c>
      <c r="J276" s="12" t="n">
        <f aca="false">G276+H276+I276</f>
        <v>35.64</v>
      </c>
      <c r="K276" s="13" t="n">
        <f aca="false">IF(F276&gt;0,J276/F276,"")</f>
        <v>0.0712814256285126</v>
      </c>
      <c r="L276" s="11" t="s">
        <v>22</v>
      </c>
    </row>
    <row r="277" customFormat="false" ht="15" hidden="false" customHeight="false" outlineLevel="0" collapsed="false">
      <c r="A277" s="10" t="n">
        <v>46124.6166435185</v>
      </c>
      <c r="B277" s="11" t="s">
        <v>84</v>
      </c>
      <c r="C277" s="11" t="s">
        <v>20</v>
      </c>
      <c r="D277" s="11" t="s">
        <v>21</v>
      </c>
      <c r="E277" s="0" t="n">
        <v>1</v>
      </c>
      <c r="F277" s="12" t="n">
        <v>1499.85</v>
      </c>
      <c r="G277" s="12" t="n">
        <v>-33.39</v>
      </c>
      <c r="H277" s="12" t="n">
        <v>-1.07</v>
      </c>
      <c r="I277" s="12" t="n">
        <v>6.66</v>
      </c>
      <c r="J277" s="12" t="n">
        <f aca="false">G277+H277+I277</f>
        <v>-27.8</v>
      </c>
      <c r="K277" s="13" t="n">
        <f aca="false">IF(F277&gt;0,J277/F277,"")</f>
        <v>-0.0185351868520185</v>
      </c>
      <c r="L277" s="11" t="s">
        <v>25</v>
      </c>
    </row>
    <row r="278" customFormat="false" ht="15" hidden="false" customHeight="false" outlineLevel="0" collapsed="false">
      <c r="A278" s="10" t="n">
        <v>46124.6261226852</v>
      </c>
      <c r="B278" s="11" t="s">
        <v>187</v>
      </c>
      <c r="C278" s="11" t="s">
        <v>20</v>
      </c>
      <c r="D278" s="11" t="s">
        <v>21</v>
      </c>
      <c r="E278" s="0" t="n">
        <v>0</v>
      </c>
      <c r="F278" s="12" t="n">
        <v>97.98</v>
      </c>
      <c r="G278" s="12" t="n">
        <v>-0.17</v>
      </c>
      <c r="H278" s="12" t="n">
        <v>-0.1</v>
      </c>
      <c r="I278" s="12" t="n">
        <v>0</v>
      </c>
      <c r="J278" s="12" t="n">
        <f aca="false">G278+H278+I278</f>
        <v>-0.27</v>
      </c>
      <c r="K278" s="13" t="n">
        <f aca="false">IF(F278&gt;0,J278/F278,"")</f>
        <v>-0.00275566442131047</v>
      </c>
      <c r="L278" s="11" t="s">
        <v>25</v>
      </c>
    </row>
    <row r="279" customFormat="false" ht="15" hidden="false" customHeight="false" outlineLevel="0" collapsed="false">
      <c r="A279" s="10" t="n">
        <v>46124.7102430556</v>
      </c>
      <c r="B279" s="11" t="s">
        <v>202</v>
      </c>
      <c r="C279" s="11" t="s">
        <v>20</v>
      </c>
      <c r="D279" s="11" t="s">
        <v>21</v>
      </c>
      <c r="E279" s="0" t="n">
        <v>0</v>
      </c>
      <c r="F279" s="12" t="n">
        <v>499.46</v>
      </c>
      <c r="G279" s="12" t="n">
        <v>37.1</v>
      </c>
      <c r="H279" s="12" t="n">
        <v>-0.48</v>
      </c>
      <c r="I279" s="12" t="n">
        <v>0</v>
      </c>
      <c r="J279" s="12" t="n">
        <f aca="false">G279+H279+I279</f>
        <v>36.62</v>
      </c>
      <c r="K279" s="13" t="n">
        <f aca="false">IF(F279&gt;0,J279/F279,"")</f>
        <v>0.0733191847194971</v>
      </c>
      <c r="L279" s="11" t="s">
        <v>22</v>
      </c>
    </row>
    <row r="280" customFormat="false" ht="15" hidden="false" customHeight="false" outlineLevel="0" collapsed="false">
      <c r="A280" s="10" t="n">
        <v>46124.7285069445</v>
      </c>
      <c r="B280" s="11" t="s">
        <v>109</v>
      </c>
      <c r="C280" s="11" t="s">
        <v>20</v>
      </c>
      <c r="D280" s="11" t="s">
        <v>21</v>
      </c>
      <c r="E280" s="0" t="n">
        <v>0</v>
      </c>
      <c r="F280" s="12" t="n">
        <v>999.98</v>
      </c>
      <c r="G280" s="12" t="n">
        <v>50.93</v>
      </c>
      <c r="H280" s="12" t="n">
        <v>-0.97</v>
      </c>
      <c r="I280" s="12" t="n">
        <v>0</v>
      </c>
      <c r="J280" s="12" t="n">
        <f aca="false">G280+H280+I280</f>
        <v>49.96</v>
      </c>
      <c r="K280" s="13" t="n">
        <f aca="false">IF(F280&gt;0,J280/F280,"")</f>
        <v>0.0499609992199844</v>
      </c>
      <c r="L280" s="11" t="s">
        <v>22</v>
      </c>
    </row>
    <row r="281" customFormat="false" ht="15" hidden="false" customHeight="false" outlineLevel="0" collapsed="false">
      <c r="A281" s="10" t="n">
        <v>46124.7340509259</v>
      </c>
      <c r="B281" s="11" t="s">
        <v>196</v>
      </c>
      <c r="C281" s="11" t="s">
        <v>20</v>
      </c>
      <c r="D281" s="11" t="s">
        <v>21</v>
      </c>
      <c r="E281" s="0" t="n">
        <v>0</v>
      </c>
      <c r="F281" s="12" t="n">
        <v>246.08</v>
      </c>
      <c r="G281" s="12" t="n">
        <v>-46.43</v>
      </c>
      <c r="H281" s="12" t="n">
        <v>-7.44</v>
      </c>
      <c r="I281" s="12" t="n">
        <v>1.17</v>
      </c>
      <c r="J281" s="12" t="n">
        <f aca="false">G281+H281+I281</f>
        <v>-52.7</v>
      </c>
      <c r="K281" s="13" t="n">
        <f aca="false">IF(F281&gt;0,J281/F281,"")</f>
        <v>-0.21415799739922</v>
      </c>
      <c r="L281" s="11" t="s">
        <v>153</v>
      </c>
    </row>
    <row r="282" customFormat="false" ht="15" hidden="false" customHeight="false" outlineLevel="0" collapsed="false">
      <c r="A282" s="10" t="n">
        <v>46124.7843518519</v>
      </c>
      <c r="B282" s="11" t="s">
        <v>149</v>
      </c>
      <c r="C282" s="11" t="s">
        <v>20</v>
      </c>
      <c r="D282" s="11" t="s">
        <v>21</v>
      </c>
      <c r="E282" s="0" t="n">
        <v>0</v>
      </c>
      <c r="F282" s="12" t="n">
        <v>999.99</v>
      </c>
      <c r="G282" s="12" t="n">
        <v>51.62</v>
      </c>
      <c r="H282" s="12" t="n">
        <v>-0.97</v>
      </c>
      <c r="I282" s="12" t="n">
        <v>0</v>
      </c>
      <c r="J282" s="12" t="n">
        <f aca="false">G282+H282+I282</f>
        <v>50.65</v>
      </c>
      <c r="K282" s="13" t="n">
        <f aca="false">IF(F282&gt;0,J282/F282,"")</f>
        <v>0.0506505065050651</v>
      </c>
      <c r="L282" s="11" t="s">
        <v>22</v>
      </c>
    </row>
    <row r="283" customFormat="false" ht="15" hidden="false" customHeight="false" outlineLevel="0" collapsed="false">
      <c r="A283" s="10" t="n">
        <v>46124.7923842593</v>
      </c>
      <c r="B283" s="11" t="s">
        <v>109</v>
      </c>
      <c r="C283" s="11" t="s">
        <v>20</v>
      </c>
      <c r="D283" s="11" t="s">
        <v>21</v>
      </c>
      <c r="E283" s="0" t="n">
        <v>0</v>
      </c>
      <c r="F283" s="12" t="n">
        <v>999.96</v>
      </c>
      <c r="G283" s="12" t="n">
        <v>53.04</v>
      </c>
      <c r="H283" s="12" t="n">
        <v>-0.97</v>
      </c>
      <c r="I283" s="12" t="n">
        <v>0</v>
      </c>
      <c r="J283" s="12" t="n">
        <f aca="false">G283+H283+I283</f>
        <v>52.07</v>
      </c>
      <c r="K283" s="13" t="n">
        <f aca="false">IF(F283&gt;0,J283/F283,"")</f>
        <v>0.0520720828833153</v>
      </c>
      <c r="L283" s="11" t="s">
        <v>22</v>
      </c>
    </row>
    <row r="284" customFormat="false" ht="15" hidden="false" customHeight="false" outlineLevel="0" collapsed="false">
      <c r="A284" s="10" t="n">
        <v>46125.3473032407</v>
      </c>
      <c r="B284" s="11" t="s">
        <v>203</v>
      </c>
      <c r="C284" s="11" t="s">
        <v>20</v>
      </c>
      <c r="D284" s="11" t="s">
        <v>21</v>
      </c>
      <c r="E284" s="0" t="n">
        <v>0</v>
      </c>
      <c r="F284" s="12" t="n">
        <v>500</v>
      </c>
      <c r="G284" s="12" t="n">
        <v>24.2</v>
      </c>
      <c r="H284" s="12" t="n">
        <v>-0.49</v>
      </c>
      <c r="I284" s="12" t="n">
        <v>0</v>
      </c>
      <c r="J284" s="12" t="n">
        <f aca="false">G284+H284+I284</f>
        <v>23.71</v>
      </c>
      <c r="K284" s="13" t="n">
        <f aca="false">IF(F284&gt;0,J284/F284,"")</f>
        <v>0.04742</v>
      </c>
      <c r="L284" s="11" t="s">
        <v>22</v>
      </c>
    </row>
    <row r="285" customFormat="false" ht="15" hidden="false" customHeight="false" outlineLevel="0" collapsed="false">
      <c r="A285" s="10" t="n">
        <v>46125.5681597222</v>
      </c>
      <c r="B285" s="11" t="s">
        <v>204</v>
      </c>
      <c r="C285" s="11" t="s">
        <v>20</v>
      </c>
      <c r="D285" s="11" t="s">
        <v>21</v>
      </c>
      <c r="E285" s="0" t="n">
        <v>0</v>
      </c>
      <c r="F285" s="12" t="n">
        <v>999.96</v>
      </c>
      <c r="G285" s="12" t="n">
        <v>-9.37</v>
      </c>
      <c r="H285" s="12" t="n">
        <v>-1</v>
      </c>
      <c r="I285" s="12" t="n">
        <v>-3.99</v>
      </c>
      <c r="J285" s="12" t="n">
        <f aca="false">G285+H285+I285</f>
        <v>-14.36</v>
      </c>
      <c r="K285" s="13" t="n">
        <f aca="false">IF(F285&gt;0,J285/F285,"")</f>
        <v>-0.0143605744229769</v>
      </c>
      <c r="L285" s="11" t="s">
        <v>25</v>
      </c>
    </row>
    <row r="286" customFormat="false" ht="15" hidden="false" customHeight="false" outlineLevel="0" collapsed="false">
      <c r="A286" s="10" t="n">
        <v>46125.6558912037</v>
      </c>
      <c r="B286" s="11" t="s">
        <v>35</v>
      </c>
      <c r="C286" s="11" t="s">
        <v>20</v>
      </c>
      <c r="D286" s="11" t="s">
        <v>21</v>
      </c>
      <c r="E286" s="0" t="n">
        <v>0</v>
      </c>
      <c r="F286" s="12" t="n">
        <v>999.92</v>
      </c>
      <c r="G286" s="12" t="n">
        <v>55.32</v>
      </c>
      <c r="H286" s="12" t="n">
        <v>-0.97</v>
      </c>
      <c r="I286" s="12" t="n">
        <v>0</v>
      </c>
      <c r="J286" s="12" t="n">
        <f aca="false">G286+H286+I286</f>
        <v>54.35</v>
      </c>
      <c r="K286" s="13" t="n">
        <f aca="false">IF(F286&gt;0,J286/F286,"")</f>
        <v>0.0543543483478678</v>
      </c>
      <c r="L286" s="11" t="s">
        <v>22</v>
      </c>
    </row>
    <row r="287" customFormat="false" ht="15" hidden="false" customHeight="false" outlineLevel="0" collapsed="false">
      <c r="A287" s="10" t="n">
        <v>46125.7071875</v>
      </c>
      <c r="B287" s="11" t="s">
        <v>203</v>
      </c>
      <c r="C287" s="11" t="s">
        <v>20</v>
      </c>
      <c r="D287" s="11" t="s">
        <v>21</v>
      </c>
      <c r="E287" s="0" t="n">
        <v>1</v>
      </c>
      <c r="F287" s="12" t="n">
        <v>1499.99</v>
      </c>
      <c r="G287" s="12" t="n">
        <v>65.3</v>
      </c>
      <c r="H287" s="12" t="n">
        <v>-1.32</v>
      </c>
      <c r="I287" s="12" t="n">
        <v>0</v>
      </c>
      <c r="J287" s="12" t="n">
        <f aca="false">G287+H287+I287</f>
        <v>63.98</v>
      </c>
      <c r="K287" s="13" t="n">
        <f aca="false">IF(F287&gt;0,J287/F287,"")</f>
        <v>0.0426536176907846</v>
      </c>
      <c r="L287" s="11" t="s">
        <v>29</v>
      </c>
    </row>
    <row r="288" customFormat="false" ht="15" hidden="false" customHeight="false" outlineLevel="0" collapsed="false">
      <c r="A288" s="10" t="n">
        <v>46125.9390740741</v>
      </c>
      <c r="B288" s="11" t="s">
        <v>81</v>
      </c>
      <c r="C288" s="11" t="s">
        <v>20</v>
      </c>
      <c r="D288" s="11" t="s">
        <v>21</v>
      </c>
      <c r="E288" s="0" t="n">
        <v>0</v>
      </c>
      <c r="F288" s="12" t="n">
        <v>499.99</v>
      </c>
      <c r="G288" s="12" t="n">
        <v>-15.18</v>
      </c>
      <c r="H288" s="12" t="n">
        <v>-0.51</v>
      </c>
      <c r="I288" s="12" t="n">
        <v>0.02</v>
      </c>
      <c r="J288" s="12" t="n">
        <f aca="false">G288+H288+I288</f>
        <v>-15.67</v>
      </c>
      <c r="K288" s="13" t="n">
        <f aca="false">IF(F288&gt;0,J288/F288,"")</f>
        <v>-0.0313406268125363</v>
      </c>
      <c r="L288" s="11" t="s">
        <v>25</v>
      </c>
    </row>
    <row r="289" customFormat="false" ht="15" hidden="false" customHeight="false" outlineLevel="0" collapsed="false">
      <c r="A289" s="10" t="n">
        <v>46126.6757291667</v>
      </c>
      <c r="B289" s="11" t="s">
        <v>98</v>
      </c>
      <c r="C289" s="11" t="s">
        <v>20</v>
      </c>
      <c r="D289" s="11" t="s">
        <v>21</v>
      </c>
      <c r="E289" s="0" t="n">
        <v>0</v>
      </c>
      <c r="F289" s="12" t="n">
        <v>999.92</v>
      </c>
      <c r="G289" s="12" t="n">
        <v>16.14</v>
      </c>
      <c r="H289" s="12" t="n">
        <v>-0.99</v>
      </c>
      <c r="I289" s="12" t="n">
        <v>0</v>
      </c>
      <c r="J289" s="12" t="n">
        <f aca="false">G289+H289+I289</f>
        <v>15.15</v>
      </c>
      <c r="K289" s="13" t="n">
        <f aca="false">IF(F289&gt;0,J289/F289,"")</f>
        <v>0.0151512120969678</v>
      </c>
      <c r="L289" s="11" t="s">
        <v>22</v>
      </c>
    </row>
    <row r="290" customFormat="false" ht="15" hidden="false" customHeight="false" outlineLevel="0" collapsed="false">
      <c r="A290" s="10" t="n">
        <v>46126.7292476852</v>
      </c>
      <c r="B290" s="11" t="s">
        <v>205</v>
      </c>
      <c r="C290" s="11" t="s">
        <v>20</v>
      </c>
      <c r="D290" s="11" t="s">
        <v>21</v>
      </c>
      <c r="E290" s="0" t="n">
        <v>1</v>
      </c>
      <c r="F290" s="12" t="n">
        <v>1499.99</v>
      </c>
      <c r="G290" s="12" t="n">
        <v>108.85</v>
      </c>
      <c r="H290" s="12" t="n">
        <v>-1.45</v>
      </c>
      <c r="I290" s="12" t="n">
        <v>0</v>
      </c>
      <c r="J290" s="12" t="n">
        <f aca="false">G290+H290+I290</f>
        <v>107.4</v>
      </c>
      <c r="K290" s="13" t="n">
        <f aca="false">IF(F290&gt;0,J290/F290,"")</f>
        <v>0.0716004773365156</v>
      </c>
      <c r="L290" s="11" t="s">
        <v>29</v>
      </c>
    </row>
    <row r="291" customFormat="false" ht="15" hidden="false" customHeight="false" outlineLevel="0" collapsed="false">
      <c r="A291" s="10" t="n">
        <v>46126.7489699074</v>
      </c>
      <c r="B291" s="11" t="s">
        <v>206</v>
      </c>
      <c r="C291" s="11" t="s">
        <v>20</v>
      </c>
      <c r="D291" s="11" t="s">
        <v>21</v>
      </c>
      <c r="E291" s="0" t="n">
        <v>0</v>
      </c>
      <c r="F291" s="12" t="n">
        <v>1000</v>
      </c>
      <c r="G291" s="12" t="n">
        <v>-8.22</v>
      </c>
      <c r="H291" s="12" t="n">
        <v>-1</v>
      </c>
      <c r="I291" s="12" t="n">
        <v>0.64</v>
      </c>
      <c r="J291" s="12" t="n">
        <f aca="false">G291+H291+I291</f>
        <v>-8.58</v>
      </c>
      <c r="K291" s="13" t="n">
        <f aca="false">IF(F291&gt;0,J291/F291,"")</f>
        <v>-0.00858</v>
      </c>
      <c r="L291" s="11" t="s">
        <v>25</v>
      </c>
    </row>
    <row r="292" customFormat="false" ht="15" hidden="false" customHeight="false" outlineLevel="0" collapsed="false">
      <c r="A292" s="10" t="n">
        <v>46127.3386805556</v>
      </c>
      <c r="B292" s="11" t="s">
        <v>207</v>
      </c>
      <c r="C292" s="11" t="s">
        <v>20</v>
      </c>
      <c r="D292" s="11" t="s">
        <v>21</v>
      </c>
      <c r="E292" s="0" t="n">
        <v>0</v>
      </c>
      <c r="F292" s="12" t="n">
        <v>999.99</v>
      </c>
      <c r="G292" s="12" t="n">
        <v>50.67</v>
      </c>
      <c r="H292" s="12" t="n">
        <v>-0.97</v>
      </c>
      <c r="I292" s="12" t="n">
        <v>-0.76</v>
      </c>
      <c r="J292" s="12" t="n">
        <f aca="false">G292+H292+I292</f>
        <v>48.94</v>
      </c>
      <c r="K292" s="13" t="n">
        <f aca="false">IF(F292&gt;0,J292/F292,"")</f>
        <v>0.0489404894048941</v>
      </c>
      <c r="L292" s="11" t="s">
        <v>22</v>
      </c>
    </row>
    <row r="293" customFormat="false" ht="15" hidden="false" customHeight="false" outlineLevel="0" collapsed="false">
      <c r="A293" s="10" t="n">
        <v>46127.5502893519</v>
      </c>
      <c r="B293" s="11" t="s">
        <v>119</v>
      </c>
      <c r="C293" s="11" t="s">
        <v>20</v>
      </c>
      <c r="D293" s="11" t="s">
        <v>21</v>
      </c>
      <c r="E293" s="0" t="n">
        <v>2</v>
      </c>
      <c r="F293" s="12" t="n">
        <v>2468.02</v>
      </c>
      <c r="G293" s="12" t="n">
        <v>53.95</v>
      </c>
      <c r="H293" s="12" t="n">
        <v>-2.15</v>
      </c>
      <c r="I293" s="12" t="n">
        <v>0</v>
      </c>
      <c r="J293" s="12" t="n">
        <f aca="false">G293+H293+I293</f>
        <v>51.8</v>
      </c>
      <c r="K293" s="13" t="n">
        <f aca="false">IF(F293&gt;0,J293/F293,"")</f>
        <v>0.0209884846962342</v>
      </c>
      <c r="L293" s="11" t="s">
        <v>61</v>
      </c>
    </row>
    <row r="294" customFormat="false" ht="15" hidden="false" customHeight="false" outlineLevel="0" collapsed="false">
      <c r="A294" s="10" t="n">
        <v>46127.640474537</v>
      </c>
      <c r="B294" s="11" t="s">
        <v>70</v>
      </c>
      <c r="C294" s="11" t="s">
        <v>20</v>
      </c>
      <c r="D294" s="11" t="s">
        <v>21</v>
      </c>
      <c r="E294" s="0" t="n">
        <v>1</v>
      </c>
      <c r="F294" s="12" t="n">
        <v>1003.89</v>
      </c>
      <c r="G294" s="12" t="n">
        <v>54.44</v>
      </c>
      <c r="H294" s="12" t="n">
        <v>-0.83</v>
      </c>
      <c r="I294" s="12" t="n">
        <v>0</v>
      </c>
      <c r="J294" s="12" t="n">
        <f aca="false">G294+H294+I294</f>
        <v>53.61</v>
      </c>
      <c r="K294" s="13" t="n">
        <f aca="false">IF(F294&gt;0,J294/F294,"")</f>
        <v>0.0534022651884171</v>
      </c>
      <c r="L294" s="11" t="s">
        <v>29</v>
      </c>
    </row>
    <row r="295" customFormat="false" ht="15" hidden="false" customHeight="false" outlineLevel="0" collapsed="false">
      <c r="A295" s="10" t="n">
        <v>46130.3183680556</v>
      </c>
      <c r="B295" s="11" t="s">
        <v>54</v>
      </c>
      <c r="C295" s="11" t="s">
        <v>20</v>
      </c>
      <c r="D295" s="11" t="s">
        <v>21</v>
      </c>
      <c r="E295" s="0" t="n">
        <v>1</v>
      </c>
      <c r="F295" s="12" t="n">
        <v>1999.95</v>
      </c>
      <c r="G295" s="12" t="n">
        <v>105.17</v>
      </c>
      <c r="H295" s="12" t="n">
        <v>-1.95</v>
      </c>
      <c r="I295" s="12" t="n">
        <v>-32.04</v>
      </c>
      <c r="J295" s="12" t="n">
        <f aca="false">G295+H295+I295</f>
        <v>71.18</v>
      </c>
      <c r="K295" s="13" t="n">
        <f aca="false">IF(F295&gt;0,J295/F295,"")</f>
        <v>0.0355908897722443</v>
      </c>
      <c r="L295" s="11" t="s">
        <v>29</v>
      </c>
    </row>
    <row r="296" customFormat="false" ht="15" hidden="false" customHeight="false" outlineLevel="0" collapsed="false">
      <c r="A296" s="10" t="n">
        <v>46130.6271296296</v>
      </c>
      <c r="B296" s="11" t="s">
        <v>92</v>
      </c>
      <c r="C296" s="11" t="s">
        <v>20</v>
      </c>
      <c r="D296" s="11" t="s">
        <v>21</v>
      </c>
      <c r="E296" s="0" t="n">
        <v>0</v>
      </c>
      <c r="F296" s="12" t="n">
        <v>1000</v>
      </c>
      <c r="G296" s="12" t="n">
        <v>51.59</v>
      </c>
      <c r="H296" s="12" t="n">
        <v>-0.97</v>
      </c>
      <c r="I296" s="12" t="n">
        <v>0</v>
      </c>
      <c r="J296" s="12" t="n">
        <f aca="false">G296+H296+I296</f>
        <v>50.62</v>
      </c>
      <c r="K296" s="13" t="n">
        <f aca="false">IF(F296&gt;0,J296/F296,"")</f>
        <v>0.05062</v>
      </c>
      <c r="L296" s="11" t="s">
        <v>22</v>
      </c>
    </row>
    <row r="297" customFormat="false" ht="15" hidden="false" customHeight="false" outlineLevel="0" collapsed="false">
      <c r="A297" s="10" t="n">
        <v>46130.7538888889</v>
      </c>
      <c r="B297" s="11" t="s">
        <v>208</v>
      </c>
      <c r="C297" s="11" t="s">
        <v>20</v>
      </c>
      <c r="D297" s="11" t="s">
        <v>21</v>
      </c>
      <c r="E297" s="0" t="n">
        <v>0</v>
      </c>
      <c r="F297" s="12" t="n">
        <v>999.98</v>
      </c>
      <c r="G297" s="12" t="n">
        <v>51.57</v>
      </c>
      <c r="H297" s="12" t="n">
        <v>-0.97</v>
      </c>
      <c r="I297" s="12" t="n">
        <v>0</v>
      </c>
      <c r="J297" s="12" t="n">
        <f aca="false">G297+H297+I297</f>
        <v>50.6</v>
      </c>
      <c r="K297" s="13" t="n">
        <f aca="false">IF(F297&gt;0,J297/F297,"")</f>
        <v>0.0506010120202404</v>
      </c>
      <c r="L297" s="11" t="s">
        <v>22</v>
      </c>
    </row>
    <row r="298" customFormat="false" ht="15" hidden="false" customHeight="false" outlineLevel="0" collapsed="false">
      <c r="A298" s="10" t="n">
        <v>46131.6828240741</v>
      </c>
      <c r="B298" s="11" t="s">
        <v>83</v>
      </c>
      <c r="C298" s="11" t="s">
        <v>20</v>
      </c>
      <c r="D298" s="11" t="s">
        <v>21</v>
      </c>
      <c r="E298" s="0" t="n">
        <v>0</v>
      </c>
      <c r="F298" s="12" t="n">
        <v>500</v>
      </c>
      <c r="G298" s="12" t="n">
        <v>49.37</v>
      </c>
      <c r="H298" s="12" t="n">
        <v>-0.48</v>
      </c>
      <c r="I298" s="12" t="n">
        <v>0</v>
      </c>
      <c r="J298" s="12" t="n">
        <f aca="false">G298+H298+I298</f>
        <v>48.89</v>
      </c>
      <c r="K298" s="13" t="n">
        <f aca="false">IF(F298&gt;0,J298/F298,"")</f>
        <v>0.09778</v>
      </c>
      <c r="L298" s="11" t="s">
        <v>22</v>
      </c>
    </row>
    <row r="299" customFormat="false" ht="15" hidden="false" customHeight="false" outlineLevel="0" collapsed="false">
      <c r="A299" s="10" t="n">
        <v>46132.5809837963</v>
      </c>
      <c r="B299" s="11" t="s">
        <v>208</v>
      </c>
      <c r="C299" s="11" t="s">
        <v>20</v>
      </c>
      <c r="D299" s="11" t="s">
        <v>21</v>
      </c>
      <c r="E299" s="0" t="n">
        <v>0</v>
      </c>
      <c r="F299" s="12" t="n">
        <v>99.97</v>
      </c>
      <c r="G299" s="12" t="n">
        <v>-0.21</v>
      </c>
      <c r="H299" s="12" t="n">
        <v>-0.1</v>
      </c>
      <c r="I299" s="12" t="n">
        <v>0</v>
      </c>
      <c r="J299" s="12" t="n">
        <f aca="false">G299+H299+I299</f>
        <v>-0.31</v>
      </c>
      <c r="K299" s="13" t="n">
        <f aca="false">IF(F299&gt;0,J299/F299,"")</f>
        <v>-0.00310093027908373</v>
      </c>
      <c r="L299" s="11" t="s">
        <v>25</v>
      </c>
    </row>
    <row r="300" customFormat="false" ht="15" hidden="false" customHeight="false" outlineLevel="0" collapsed="false">
      <c r="A300" s="10" t="n">
        <v>46134.1196527778</v>
      </c>
      <c r="B300" s="11" t="s">
        <v>108</v>
      </c>
      <c r="C300" s="11" t="s">
        <v>20</v>
      </c>
      <c r="D300" s="11" t="s">
        <v>21</v>
      </c>
      <c r="E300" s="0" t="n">
        <v>1</v>
      </c>
      <c r="F300" s="12" t="n">
        <v>1979.74</v>
      </c>
      <c r="G300" s="12" t="n">
        <v>208.48</v>
      </c>
      <c r="H300" s="12" t="n">
        <v>-1.28</v>
      </c>
      <c r="I300" s="12" t="n">
        <v>-0.01</v>
      </c>
      <c r="J300" s="12" t="n">
        <f aca="false">G300+H300+I300</f>
        <v>207.19</v>
      </c>
      <c r="K300" s="13" t="n">
        <f aca="false">IF(F300&gt;0,J300/F300,"")</f>
        <v>0.104655156737753</v>
      </c>
      <c r="L300" s="11" t="s">
        <v>29</v>
      </c>
    </row>
    <row r="301" customFormat="false" ht="15" hidden="false" customHeight="false" outlineLevel="0" collapsed="false">
      <c r="A301" s="10" t="n">
        <v>46135.520162037</v>
      </c>
      <c r="B301" s="11" t="s">
        <v>117</v>
      </c>
      <c r="C301" s="11" t="s">
        <v>20</v>
      </c>
      <c r="D301" s="11" t="s">
        <v>21</v>
      </c>
      <c r="E301" s="0" t="n">
        <v>0</v>
      </c>
      <c r="F301" s="12" t="n">
        <v>499.97</v>
      </c>
      <c r="G301" s="12" t="n">
        <v>41.41</v>
      </c>
      <c r="H301" s="12" t="n">
        <v>-0.48</v>
      </c>
      <c r="I301" s="12" t="n">
        <v>-0.88</v>
      </c>
      <c r="J301" s="12" t="n">
        <f aca="false">G301+H301+I301</f>
        <v>40.05</v>
      </c>
      <c r="K301" s="13" t="n">
        <f aca="false">IF(F301&gt;0,J301/F301,"")</f>
        <v>0.0801048062883773</v>
      </c>
      <c r="L301" s="11" t="s">
        <v>22</v>
      </c>
    </row>
    <row r="302" customFormat="false" ht="15" hidden="false" customHeight="false" outlineLevel="0" collapsed="false">
      <c r="A302" s="10" t="n">
        <v>46136.5361921296</v>
      </c>
      <c r="B302" s="11" t="s">
        <v>35</v>
      </c>
      <c r="C302" s="11" t="s">
        <v>20</v>
      </c>
      <c r="D302" s="11" t="s">
        <v>21</v>
      </c>
      <c r="E302" s="0" t="n">
        <v>0</v>
      </c>
      <c r="F302" s="12" t="n">
        <v>999.84</v>
      </c>
      <c r="G302" s="12" t="n">
        <v>77.91</v>
      </c>
      <c r="H302" s="12" t="n">
        <v>-0.66</v>
      </c>
      <c r="I302" s="12" t="n">
        <v>1.05</v>
      </c>
      <c r="J302" s="12" t="n">
        <f aca="false">G302+H302+I302</f>
        <v>78.3</v>
      </c>
      <c r="K302" s="13" t="n">
        <f aca="false">IF(F302&gt;0,J302/F302,"")</f>
        <v>0.0783125300048008</v>
      </c>
      <c r="L302" s="11" t="s">
        <v>22</v>
      </c>
    </row>
    <row r="303" customFormat="false" ht="15" hidden="false" customHeight="false" outlineLevel="0" collapsed="false">
      <c r="A303" s="10" t="n">
        <v>46136.7135185185</v>
      </c>
      <c r="B303" s="11" t="s">
        <v>172</v>
      </c>
      <c r="C303" s="11" t="s">
        <v>20</v>
      </c>
      <c r="D303" s="11" t="s">
        <v>21</v>
      </c>
      <c r="E303" s="0" t="n">
        <v>0</v>
      </c>
      <c r="F303" s="12" t="n">
        <v>1000</v>
      </c>
      <c r="G303" s="12" t="n">
        <v>84.35</v>
      </c>
      <c r="H303" s="12" t="n">
        <v>-0.96</v>
      </c>
      <c r="I303" s="12" t="n">
        <v>0</v>
      </c>
      <c r="J303" s="12" t="n">
        <f aca="false">G303+H303+I303</f>
        <v>83.39</v>
      </c>
      <c r="K303" s="13" t="n">
        <f aca="false">IF(F303&gt;0,J303/F303,"")</f>
        <v>0.08339</v>
      </c>
      <c r="L303" s="11" t="s">
        <v>22</v>
      </c>
    </row>
    <row r="304" customFormat="false" ht="15" hidden="false" customHeight="false" outlineLevel="0" collapsed="false">
      <c r="A304" s="10" t="n">
        <v>46136.8967824074</v>
      </c>
      <c r="B304" s="11" t="s">
        <v>209</v>
      </c>
      <c r="C304" s="11" t="s">
        <v>20</v>
      </c>
      <c r="D304" s="11" t="s">
        <v>21</v>
      </c>
      <c r="E304" s="0" t="n">
        <v>1</v>
      </c>
      <c r="F304" s="12" t="n">
        <v>1000</v>
      </c>
      <c r="G304" s="12" t="n">
        <v>55.12</v>
      </c>
      <c r="H304" s="12" t="n">
        <v>-0.82</v>
      </c>
      <c r="I304" s="12" t="n">
        <v>0.34</v>
      </c>
      <c r="J304" s="12" t="n">
        <f aca="false">G304+H304+I304</f>
        <v>54.64</v>
      </c>
      <c r="K304" s="13" t="n">
        <f aca="false">IF(F304&gt;0,J304/F304,"")</f>
        <v>0.05464</v>
      </c>
      <c r="L304" s="11" t="s">
        <v>29</v>
      </c>
    </row>
    <row r="305" customFormat="false" ht="15" hidden="false" customHeight="false" outlineLevel="0" collapsed="false">
      <c r="A305" s="10" t="n">
        <v>46136.9098032407</v>
      </c>
      <c r="B305" s="11" t="s">
        <v>210</v>
      </c>
      <c r="C305" s="11" t="s">
        <v>20</v>
      </c>
      <c r="D305" s="11" t="s">
        <v>21</v>
      </c>
      <c r="E305" s="0" t="n">
        <v>0</v>
      </c>
      <c r="F305" s="12" t="n">
        <v>999.8</v>
      </c>
      <c r="G305" s="12" t="n">
        <v>46.8</v>
      </c>
      <c r="H305" s="12" t="n">
        <v>-0.98</v>
      </c>
      <c r="I305" s="12" t="n">
        <v>0.17</v>
      </c>
      <c r="J305" s="12" t="n">
        <f aca="false">G305+H305+I305</f>
        <v>45.99</v>
      </c>
      <c r="K305" s="13" t="n">
        <f aca="false">IF(F305&gt;0,J305/F305,"")</f>
        <v>0.045999199839968</v>
      </c>
      <c r="L305" s="11" t="s">
        <v>22</v>
      </c>
    </row>
    <row r="306" customFormat="false" ht="15" hidden="false" customHeight="false" outlineLevel="0" collapsed="false">
      <c r="A306" s="10" t="n">
        <v>46136.9413078704</v>
      </c>
      <c r="B306" s="11" t="s">
        <v>196</v>
      </c>
      <c r="C306" s="11" t="s">
        <v>169</v>
      </c>
      <c r="D306" s="11" t="s">
        <v>21</v>
      </c>
      <c r="E306" s="0" t="n">
        <v>0</v>
      </c>
      <c r="F306" s="12" t="n">
        <v>999.66</v>
      </c>
      <c r="G306" s="12" t="n">
        <v>-0.68</v>
      </c>
      <c r="H306" s="12" t="n">
        <v>-1</v>
      </c>
      <c r="I306" s="12" t="n">
        <v>0</v>
      </c>
      <c r="J306" s="12" t="n">
        <f aca="false">G306+H306+I306</f>
        <v>-1.68</v>
      </c>
      <c r="K306" s="13" t="n">
        <f aca="false">IF(F306&gt;0,J306/F306,"")</f>
        <v>-0.00168057139427405</v>
      </c>
      <c r="L306" s="11" t="s">
        <v>25</v>
      </c>
    </row>
    <row r="307" customFormat="false" ht="15" hidden="false" customHeight="false" outlineLevel="0" collapsed="false">
      <c r="A307" s="10" t="n">
        <v>46137.3687152778</v>
      </c>
      <c r="B307" s="11" t="s">
        <v>122</v>
      </c>
      <c r="C307" s="11" t="s">
        <v>20</v>
      </c>
      <c r="D307" s="11" t="s">
        <v>21</v>
      </c>
      <c r="E307" s="0" t="n">
        <v>0</v>
      </c>
      <c r="F307" s="12" t="n">
        <v>2000</v>
      </c>
      <c r="G307" s="12" t="n">
        <v>91.8</v>
      </c>
      <c r="H307" s="12" t="n">
        <v>-1.95</v>
      </c>
      <c r="I307" s="12" t="n">
        <v>0</v>
      </c>
      <c r="J307" s="12" t="n">
        <f aca="false">G307+H307+I307</f>
        <v>89.85</v>
      </c>
      <c r="K307" s="13" t="n">
        <f aca="false">IF(F307&gt;0,J307/F307,"")</f>
        <v>0.044925</v>
      </c>
      <c r="L307" s="11" t="s">
        <v>22</v>
      </c>
    </row>
    <row r="308" customFormat="false" ht="15" hidden="false" customHeight="false" outlineLevel="0" collapsed="false">
      <c r="A308" s="10" t="n">
        <v>46137.4368287037</v>
      </c>
      <c r="B308" s="11" t="s">
        <v>70</v>
      </c>
      <c r="C308" s="11" t="s">
        <v>20</v>
      </c>
      <c r="D308" s="11" t="s">
        <v>21</v>
      </c>
      <c r="E308" s="0" t="n">
        <v>1</v>
      </c>
      <c r="F308" s="12" t="n">
        <v>2000</v>
      </c>
      <c r="G308" s="12" t="n">
        <v>94</v>
      </c>
      <c r="H308" s="12" t="n">
        <v>-1.65</v>
      </c>
      <c r="I308" s="12" t="n">
        <v>-1.23</v>
      </c>
      <c r="J308" s="12" t="n">
        <f aca="false">G308+H308+I308</f>
        <v>91.12</v>
      </c>
      <c r="K308" s="13" t="n">
        <f aca="false">IF(F308&gt;0,J308/F308,"")</f>
        <v>0.04556</v>
      </c>
      <c r="L308" s="11" t="s">
        <v>29</v>
      </c>
    </row>
    <row r="309" customFormat="false" ht="15" hidden="false" customHeight="false" outlineLevel="0" collapsed="false">
      <c r="A309" s="10" t="n">
        <v>46137.4389814815</v>
      </c>
      <c r="B309" s="11" t="s">
        <v>122</v>
      </c>
      <c r="C309" s="11" t="s">
        <v>20</v>
      </c>
      <c r="D309" s="11" t="s">
        <v>21</v>
      </c>
      <c r="E309" s="0" t="n">
        <v>0</v>
      </c>
      <c r="F309" s="12" t="n">
        <v>2000</v>
      </c>
      <c r="G309" s="12" t="n">
        <v>97.07</v>
      </c>
      <c r="H309" s="12" t="n">
        <v>-1.95</v>
      </c>
      <c r="I309" s="12" t="n">
        <v>0</v>
      </c>
      <c r="J309" s="12" t="n">
        <f aca="false">G309+H309+I309</f>
        <v>95.12</v>
      </c>
      <c r="K309" s="13" t="n">
        <f aca="false">IF(F309&gt;0,J309/F309,"")</f>
        <v>0.04756</v>
      </c>
      <c r="L309" s="11" t="s">
        <v>22</v>
      </c>
    </row>
    <row r="310" customFormat="false" ht="15" hidden="false" customHeight="false" outlineLevel="0" collapsed="false">
      <c r="A310" s="10" t="n">
        <v>46137.4423611111</v>
      </c>
      <c r="B310" s="11" t="s">
        <v>158</v>
      </c>
      <c r="C310" s="11" t="s">
        <v>20</v>
      </c>
      <c r="D310" s="11" t="s">
        <v>21</v>
      </c>
      <c r="E310" s="0" t="n">
        <v>0</v>
      </c>
      <c r="F310" s="12" t="n">
        <v>999.9</v>
      </c>
      <c r="G310" s="12" t="n">
        <v>49.51</v>
      </c>
      <c r="H310" s="12" t="n">
        <v>-0.98</v>
      </c>
      <c r="I310" s="12" t="n">
        <v>0.19</v>
      </c>
      <c r="J310" s="12" t="n">
        <f aca="false">G310+H310+I310</f>
        <v>48.72</v>
      </c>
      <c r="K310" s="13" t="n">
        <f aca="false">IF(F310&gt;0,J310/F310,"")</f>
        <v>0.0487248724872487</v>
      </c>
      <c r="L310" s="11" t="s">
        <v>22</v>
      </c>
    </row>
    <row r="311" customFormat="false" ht="15" hidden="false" customHeight="false" outlineLevel="0" collapsed="false">
      <c r="A311" s="10" t="n">
        <v>46137.4636226852</v>
      </c>
      <c r="B311" s="11" t="s">
        <v>211</v>
      </c>
      <c r="C311" s="11" t="s">
        <v>20</v>
      </c>
      <c r="D311" s="11" t="s">
        <v>21</v>
      </c>
      <c r="E311" s="0" t="n">
        <v>0</v>
      </c>
      <c r="F311" s="12" t="n">
        <v>1000</v>
      </c>
      <c r="G311" s="12" t="n">
        <v>48.81</v>
      </c>
      <c r="H311" s="12" t="n">
        <v>-0.98</v>
      </c>
      <c r="I311" s="12" t="n">
        <v>0</v>
      </c>
      <c r="J311" s="12" t="n">
        <f aca="false">G311+H311+I311</f>
        <v>47.83</v>
      </c>
      <c r="K311" s="13" t="n">
        <f aca="false">IF(F311&gt;0,J311/F311,"")</f>
        <v>0.04783</v>
      </c>
      <c r="L311" s="11" t="s">
        <v>22</v>
      </c>
    </row>
    <row r="312" customFormat="false" ht="15" hidden="false" customHeight="false" outlineLevel="0" collapsed="false">
      <c r="A312" s="10" t="n">
        <v>46137.5274884259</v>
      </c>
      <c r="B312" s="11" t="s">
        <v>212</v>
      </c>
      <c r="C312" s="11" t="s">
        <v>20</v>
      </c>
      <c r="D312" s="11" t="s">
        <v>21</v>
      </c>
      <c r="E312" s="0" t="n">
        <v>0</v>
      </c>
      <c r="F312" s="12" t="n">
        <v>1999.99</v>
      </c>
      <c r="G312" s="12" t="n">
        <v>90.4</v>
      </c>
      <c r="H312" s="12" t="n">
        <v>-1.95</v>
      </c>
      <c r="I312" s="12" t="n">
        <v>0.02</v>
      </c>
      <c r="J312" s="12" t="n">
        <f aca="false">G312+H312+I312</f>
        <v>88.47</v>
      </c>
      <c r="K312" s="13" t="n">
        <f aca="false">IF(F312&gt;0,J312/F312,"")</f>
        <v>0.0442352211761059</v>
      </c>
      <c r="L312" s="11" t="s">
        <v>22</v>
      </c>
    </row>
    <row r="313" customFormat="false" ht="15" hidden="false" customHeight="false" outlineLevel="0" collapsed="false">
      <c r="A313" s="10" t="n">
        <v>46137.5871296296</v>
      </c>
      <c r="B313" s="11" t="s">
        <v>58</v>
      </c>
      <c r="C313" s="11" t="s">
        <v>20</v>
      </c>
      <c r="D313" s="11" t="s">
        <v>21</v>
      </c>
      <c r="E313" s="0" t="n">
        <v>0</v>
      </c>
      <c r="F313" s="12" t="n">
        <v>1999.91</v>
      </c>
      <c r="G313" s="12" t="n">
        <v>113.33</v>
      </c>
      <c r="H313" s="12" t="n">
        <v>-1.94</v>
      </c>
      <c r="I313" s="12" t="n">
        <v>0</v>
      </c>
      <c r="J313" s="12" t="n">
        <f aca="false">G313+H313+I313</f>
        <v>111.39</v>
      </c>
      <c r="K313" s="13" t="n">
        <f aca="false">IF(F313&gt;0,J313/F313,"")</f>
        <v>0.0556975063877875</v>
      </c>
      <c r="L313" s="11" t="s">
        <v>22</v>
      </c>
    </row>
    <row r="314" customFormat="false" ht="15" hidden="false" customHeight="false" outlineLevel="0" collapsed="false">
      <c r="A314" s="10" t="n">
        <v>46137.5892939815</v>
      </c>
      <c r="B314" s="11" t="s">
        <v>213</v>
      </c>
      <c r="C314" s="11" t="s">
        <v>20</v>
      </c>
      <c r="D314" s="11" t="s">
        <v>21</v>
      </c>
      <c r="E314" s="0" t="n">
        <v>0</v>
      </c>
      <c r="F314" s="12" t="n">
        <v>1999.93</v>
      </c>
      <c r="G314" s="12" t="n">
        <v>52.51</v>
      </c>
      <c r="H314" s="12" t="n">
        <v>-1.97</v>
      </c>
      <c r="I314" s="12" t="n">
        <v>0</v>
      </c>
      <c r="J314" s="12" t="n">
        <f aca="false">G314+H314+I314</f>
        <v>50.54</v>
      </c>
      <c r="K314" s="13" t="n">
        <f aca="false">IF(F314&gt;0,J314/F314,"")</f>
        <v>0.0252708844809568</v>
      </c>
      <c r="L314" s="11" t="s">
        <v>22</v>
      </c>
    </row>
    <row r="315" customFormat="false" ht="15" hidden="false" customHeight="false" outlineLevel="0" collapsed="false">
      <c r="A315" s="10" t="n">
        <v>46137.6400694445</v>
      </c>
      <c r="B315" s="11" t="s">
        <v>214</v>
      </c>
      <c r="C315" s="11" t="s">
        <v>20</v>
      </c>
      <c r="D315" s="11" t="s">
        <v>21</v>
      </c>
      <c r="E315" s="0" t="n">
        <v>0</v>
      </c>
      <c r="F315" s="12" t="n">
        <v>2000</v>
      </c>
      <c r="G315" s="12" t="n">
        <v>87.43</v>
      </c>
      <c r="H315" s="12" t="n">
        <v>-1.96</v>
      </c>
      <c r="I315" s="12" t="n">
        <v>0</v>
      </c>
      <c r="J315" s="12" t="n">
        <f aca="false">G315+H315+I315</f>
        <v>85.47</v>
      </c>
      <c r="K315" s="13" t="n">
        <f aca="false">IF(F315&gt;0,J315/F315,"")</f>
        <v>0.042735</v>
      </c>
      <c r="L315" s="11" t="s">
        <v>22</v>
      </c>
    </row>
    <row r="316" customFormat="false" ht="15" hidden="false" customHeight="false" outlineLevel="0" collapsed="false">
      <c r="A316" s="10" t="n">
        <v>46137.6800462963</v>
      </c>
      <c r="B316" s="11" t="s">
        <v>215</v>
      </c>
      <c r="C316" s="11" t="s">
        <v>20</v>
      </c>
      <c r="D316" s="11" t="s">
        <v>21</v>
      </c>
      <c r="E316" s="0" t="n">
        <v>0</v>
      </c>
      <c r="F316" s="12" t="n">
        <v>1000</v>
      </c>
      <c r="G316" s="12" t="n">
        <v>48</v>
      </c>
      <c r="H316" s="12" t="n">
        <v>-0.68</v>
      </c>
      <c r="I316" s="12" t="n">
        <v>-1.05</v>
      </c>
      <c r="J316" s="12" t="n">
        <f aca="false">G316+H316+I316</f>
        <v>46.27</v>
      </c>
      <c r="K316" s="13" t="n">
        <f aca="false">IF(F316&gt;0,J316/F316,"")</f>
        <v>0.04627</v>
      </c>
      <c r="L316" s="11" t="s">
        <v>22</v>
      </c>
    </row>
    <row r="317" customFormat="false" ht="15" hidden="false" customHeight="false" outlineLevel="0" collapsed="false">
      <c r="A317" s="10" t="n">
        <v>46137.6898726852</v>
      </c>
      <c r="B317" s="11" t="s">
        <v>216</v>
      </c>
      <c r="C317" s="11" t="s">
        <v>20</v>
      </c>
      <c r="D317" s="11" t="s">
        <v>21</v>
      </c>
      <c r="E317" s="0" t="n">
        <v>0</v>
      </c>
      <c r="F317" s="12" t="n">
        <v>2000</v>
      </c>
      <c r="G317" s="12" t="n">
        <v>83.8</v>
      </c>
      <c r="H317" s="12" t="n">
        <v>-1.96</v>
      </c>
      <c r="I317" s="12" t="n">
        <v>-0.41</v>
      </c>
      <c r="J317" s="12" t="n">
        <f aca="false">G317+H317+I317</f>
        <v>81.43</v>
      </c>
      <c r="K317" s="13" t="n">
        <f aca="false">IF(F317&gt;0,J317/F317,"")</f>
        <v>0.040715</v>
      </c>
      <c r="L317" s="11" t="s">
        <v>22</v>
      </c>
    </row>
    <row r="318" customFormat="false" ht="15" hidden="false" customHeight="false" outlineLevel="0" collapsed="false">
      <c r="A318" s="10" t="n">
        <v>46137.6903125</v>
      </c>
      <c r="B318" s="11" t="s">
        <v>135</v>
      </c>
      <c r="C318" s="11" t="s">
        <v>20</v>
      </c>
      <c r="D318" s="11" t="s">
        <v>21</v>
      </c>
      <c r="E318" s="0" t="n">
        <v>0</v>
      </c>
      <c r="F318" s="12" t="n">
        <v>1999.99</v>
      </c>
      <c r="G318" s="12" t="n">
        <v>80.52</v>
      </c>
      <c r="H318" s="12" t="n">
        <v>-1.96</v>
      </c>
      <c r="I318" s="12" t="n">
        <v>0.08</v>
      </c>
      <c r="J318" s="12" t="n">
        <f aca="false">G318+H318+I318</f>
        <v>78.64</v>
      </c>
      <c r="K318" s="13" t="n">
        <f aca="false">IF(F318&gt;0,J318/F318,"")</f>
        <v>0.039320196600983</v>
      </c>
      <c r="L318" s="11" t="s">
        <v>22</v>
      </c>
    </row>
    <row r="319" customFormat="false" ht="15" hidden="false" customHeight="false" outlineLevel="0" collapsed="false">
      <c r="A319" s="10" t="n">
        <v>46137.7172800926</v>
      </c>
      <c r="B319" s="11" t="s">
        <v>65</v>
      </c>
      <c r="C319" s="11" t="s">
        <v>20</v>
      </c>
      <c r="D319" s="11" t="s">
        <v>21</v>
      </c>
      <c r="E319" s="0" t="n">
        <v>0</v>
      </c>
      <c r="F319" s="12" t="n">
        <v>1999.99</v>
      </c>
      <c r="G319" s="12" t="n">
        <v>87.52</v>
      </c>
      <c r="H319" s="12" t="n">
        <v>-1.96</v>
      </c>
      <c r="I319" s="12" t="n">
        <v>-0.05</v>
      </c>
      <c r="J319" s="12" t="n">
        <f aca="false">G319+H319+I319</f>
        <v>85.51</v>
      </c>
      <c r="K319" s="13" t="n">
        <f aca="false">IF(F319&gt;0,J319/F319,"")</f>
        <v>0.0427552137760689</v>
      </c>
      <c r="L319" s="11" t="s">
        <v>22</v>
      </c>
    </row>
    <row r="320" customFormat="false" ht="15" hidden="false" customHeight="false" outlineLevel="0" collapsed="false">
      <c r="A320" s="10" t="n">
        <v>46137.8447685185</v>
      </c>
      <c r="B320" s="11" t="s">
        <v>205</v>
      </c>
      <c r="C320" s="11" t="s">
        <v>20</v>
      </c>
      <c r="D320" s="11" t="s">
        <v>21</v>
      </c>
      <c r="E320" s="0" t="n">
        <v>0</v>
      </c>
      <c r="F320" s="12" t="n">
        <v>2004.18</v>
      </c>
      <c r="G320" s="12" t="n">
        <v>-14.38</v>
      </c>
      <c r="H320" s="12" t="n">
        <v>-1.41</v>
      </c>
      <c r="I320" s="12" t="n">
        <v>-3.09</v>
      </c>
      <c r="J320" s="12" t="n">
        <f aca="false">G320+H320+I320</f>
        <v>-18.88</v>
      </c>
      <c r="K320" s="13" t="n">
        <f aca="false">IF(F320&gt;0,J320/F320,"")</f>
        <v>-0.00942031154886288</v>
      </c>
      <c r="L320" s="11" t="s">
        <v>25</v>
      </c>
    </row>
    <row r="321" customFormat="false" ht="15" hidden="false" customHeight="false" outlineLevel="0" collapsed="false">
      <c r="A321" s="10" t="n">
        <v>46137.9604861111</v>
      </c>
      <c r="B321" s="11" t="s">
        <v>196</v>
      </c>
      <c r="C321" s="11" t="s">
        <v>169</v>
      </c>
      <c r="D321" s="11" t="s">
        <v>21</v>
      </c>
      <c r="E321" s="0" t="n">
        <v>0</v>
      </c>
      <c r="F321" s="12" t="n">
        <v>249.48</v>
      </c>
      <c r="G321" s="12" t="n">
        <v>-47.52</v>
      </c>
      <c r="H321" s="12" t="n">
        <v>-5.17</v>
      </c>
      <c r="I321" s="12" t="n">
        <v>-0.95</v>
      </c>
      <c r="J321" s="12" t="n">
        <f aca="false">G321+H321+I321</f>
        <v>-53.64</v>
      </c>
      <c r="K321" s="13" t="n">
        <f aca="false">IF(F321&gt;0,J321/F321,"")</f>
        <v>-0.215007215007215</v>
      </c>
      <c r="L321" s="11" t="s">
        <v>153</v>
      </c>
    </row>
    <row r="322" customFormat="false" ht="15" hidden="false" customHeight="false" outlineLevel="0" collapsed="false">
      <c r="A322" s="10" t="n">
        <v>46138.3317361111</v>
      </c>
      <c r="B322" s="11" t="s">
        <v>194</v>
      </c>
      <c r="C322" s="11" t="s">
        <v>20</v>
      </c>
      <c r="D322" s="11" t="s">
        <v>21</v>
      </c>
      <c r="E322" s="0" t="n">
        <v>1</v>
      </c>
      <c r="F322" s="12" t="n">
        <v>2000</v>
      </c>
      <c r="G322" s="12" t="n">
        <v>95.21</v>
      </c>
      <c r="H322" s="12" t="n">
        <v>-1.65</v>
      </c>
      <c r="I322" s="12" t="n">
        <v>0</v>
      </c>
      <c r="J322" s="12" t="n">
        <f aca="false">G322+H322+I322</f>
        <v>93.56</v>
      </c>
      <c r="K322" s="13" t="n">
        <f aca="false">IF(F322&gt;0,J322/F322,"")</f>
        <v>0.04678</v>
      </c>
      <c r="L322" s="11" t="s">
        <v>29</v>
      </c>
    </row>
    <row r="323" customFormat="false" ht="15" hidden="false" customHeight="false" outlineLevel="0" collapsed="false">
      <c r="A323" s="10" t="n">
        <v>46138.3615625</v>
      </c>
      <c r="B323" s="11" t="s">
        <v>217</v>
      </c>
      <c r="C323" s="11" t="s">
        <v>20</v>
      </c>
      <c r="D323" s="11" t="s">
        <v>21</v>
      </c>
      <c r="E323" s="0" t="n">
        <v>0</v>
      </c>
      <c r="F323" s="12" t="n">
        <v>999.98</v>
      </c>
      <c r="G323" s="12" t="n">
        <v>42.37</v>
      </c>
      <c r="H323" s="12" t="n">
        <v>-0.98</v>
      </c>
      <c r="I323" s="12" t="n">
        <v>-2.98</v>
      </c>
      <c r="J323" s="12" t="n">
        <f aca="false">G323+H323+I323</f>
        <v>38.41</v>
      </c>
      <c r="K323" s="13" t="n">
        <f aca="false">IF(F323&gt;0,J323/F323,"")</f>
        <v>0.0384107682153643</v>
      </c>
      <c r="L323" s="11" t="s">
        <v>22</v>
      </c>
    </row>
    <row r="324" customFormat="false" ht="15" hidden="false" customHeight="false" outlineLevel="0" collapsed="false">
      <c r="A324" s="10" t="n">
        <v>46138.3918634259</v>
      </c>
      <c r="B324" s="11" t="s">
        <v>69</v>
      </c>
      <c r="C324" s="11" t="s">
        <v>20</v>
      </c>
      <c r="D324" s="11" t="s">
        <v>21</v>
      </c>
      <c r="E324" s="0" t="n">
        <v>0</v>
      </c>
      <c r="F324" s="12" t="n">
        <v>1999.89</v>
      </c>
      <c r="G324" s="12" t="n">
        <v>78.43</v>
      </c>
      <c r="H324" s="12" t="n">
        <v>-1.96</v>
      </c>
      <c r="I324" s="12" t="n">
        <v>0.1</v>
      </c>
      <c r="J324" s="12" t="n">
        <f aca="false">G324+H324+I324</f>
        <v>76.57</v>
      </c>
      <c r="K324" s="13" t="n">
        <f aca="false">IF(F324&gt;0,J324/F324,"")</f>
        <v>0.0382871057908185</v>
      </c>
      <c r="L324" s="11" t="s">
        <v>22</v>
      </c>
    </row>
    <row r="325" customFormat="false" ht="15" hidden="false" customHeight="false" outlineLevel="0" collapsed="false">
      <c r="A325" s="10" t="n">
        <v>46138.4375694445</v>
      </c>
      <c r="B325" s="11" t="s">
        <v>218</v>
      </c>
      <c r="C325" s="11" t="s">
        <v>20</v>
      </c>
      <c r="D325" s="11" t="s">
        <v>21</v>
      </c>
      <c r="E325" s="0" t="n">
        <v>0</v>
      </c>
      <c r="F325" s="12" t="n">
        <v>1999.95</v>
      </c>
      <c r="G325" s="12" t="n">
        <v>56.76</v>
      </c>
      <c r="H325" s="12" t="n">
        <v>-1.97</v>
      </c>
      <c r="I325" s="12" t="n">
        <v>0.26</v>
      </c>
      <c r="J325" s="12" t="n">
        <f aca="false">G325+H325+I325</f>
        <v>55.05</v>
      </c>
      <c r="K325" s="13" t="n">
        <f aca="false">IF(F325&gt;0,J325/F325,"")</f>
        <v>0.0275256881422036</v>
      </c>
      <c r="L325" s="11" t="s">
        <v>22</v>
      </c>
    </row>
    <row r="326" customFormat="false" ht="15" hidden="false" customHeight="false" outlineLevel="0" collapsed="false">
      <c r="A326" s="10" t="n">
        <v>46138.6995486111</v>
      </c>
      <c r="B326" s="11" t="s">
        <v>219</v>
      </c>
      <c r="C326" s="11" t="s">
        <v>20</v>
      </c>
      <c r="D326" s="11" t="s">
        <v>21</v>
      </c>
      <c r="E326" s="0" t="n">
        <v>1</v>
      </c>
      <c r="F326" s="12" t="n">
        <v>2998.98</v>
      </c>
      <c r="G326" s="12" t="n">
        <v>11.19</v>
      </c>
      <c r="H326" s="12" t="n">
        <v>-2.99</v>
      </c>
      <c r="I326" s="12" t="n">
        <v>-12.43</v>
      </c>
      <c r="J326" s="12" t="n">
        <f aca="false">G326+H326+I326</f>
        <v>-4.23</v>
      </c>
      <c r="K326" s="13" t="n">
        <f aca="false">IF(F326&gt;0,J326/F326,"")</f>
        <v>-0.00141047956305144</v>
      </c>
      <c r="L326" s="11" t="s">
        <v>25</v>
      </c>
    </row>
    <row r="327" customFormat="false" ht="15" hidden="false" customHeight="false" outlineLevel="0" collapsed="false">
      <c r="A327" s="10" t="n">
        <v>46139.2525231482</v>
      </c>
      <c r="B327" s="11" t="s">
        <v>220</v>
      </c>
      <c r="C327" s="11" t="s">
        <v>20</v>
      </c>
      <c r="D327" s="11" t="s">
        <v>21</v>
      </c>
      <c r="E327" s="0" t="n">
        <v>0</v>
      </c>
      <c r="F327" s="12" t="n">
        <v>1999.61</v>
      </c>
      <c r="G327" s="12" t="n">
        <v>94.33</v>
      </c>
      <c r="H327" s="12" t="n">
        <v>-1.95</v>
      </c>
      <c r="I327" s="12" t="n">
        <v>0.02</v>
      </c>
      <c r="J327" s="12" t="n">
        <f aca="false">G327+H327+I327</f>
        <v>92.4</v>
      </c>
      <c r="K327" s="13" t="n">
        <f aca="false">IF(F327&gt;0,J327/F327,"")</f>
        <v>0.0462090107570976</v>
      </c>
      <c r="L327" s="11" t="s">
        <v>22</v>
      </c>
    </row>
    <row r="328" customFormat="false" ht="15" hidden="false" customHeight="false" outlineLevel="0" collapsed="false">
      <c r="A328" s="10" t="n">
        <v>46139.4800694444</v>
      </c>
      <c r="B328" s="11" t="s">
        <v>66</v>
      </c>
      <c r="C328" s="11" t="s">
        <v>20</v>
      </c>
      <c r="D328" s="11" t="s">
        <v>21</v>
      </c>
      <c r="E328" s="0" t="n">
        <v>1</v>
      </c>
      <c r="F328" s="12" t="n">
        <v>1999.97</v>
      </c>
      <c r="G328" s="12" t="n">
        <v>1.35</v>
      </c>
      <c r="H328" s="12" t="n">
        <v>-2</v>
      </c>
      <c r="I328" s="12" t="n">
        <v>-2.56</v>
      </c>
      <c r="J328" s="12" t="n">
        <f aca="false">G328+H328+I328</f>
        <v>-3.21</v>
      </c>
      <c r="K328" s="13" t="n">
        <f aca="false">IF(F328&gt;0,J328/F328,"")</f>
        <v>-0.00160502407536113</v>
      </c>
      <c r="L328" s="11" t="s">
        <v>25</v>
      </c>
    </row>
    <row r="329" customFormat="false" ht="15" hidden="false" customHeight="false" outlineLevel="0" collapsed="false">
      <c r="A329" s="10" t="n">
        <v>46139.5578819444</v>
      </c>
      <c r="B329" s="11" t="s">
        <v>182</v>
      </c>
      <c r="C329" s="11" t="s">
        <v>20</v>
      </c>
      <c r="D329" s="11" t="s">
        <v>21</v>
      </c>
      <c r="E329" s="0" t="n">
        <v>0</v>
      </c>
      <c r="F329" s="12" t="n">
        <v>1999.77</v>
      </c>
      <c r="G329" s="12" t="n">
        <v>49.4</v>
      </c>
      <c r="H329" s="12" t="n">
        <v>-1.98</v>
      </c>
      <c r="I329" s="12" t="n">
        <v>-0.04</v>
      </c>
      <c r="J329" s="12" t="n">
        <f aca="false">G329+H329+I329</f>
        <v>47.38</v>
      </c>
      <c r="K329" s="13" t="n">
        <f aca="false">IF(F329&gt;0,J329/F329,"")</f>
        <v>0.0236927246633363</v>
      </c>
      <c r="L329" s="11" t="s">
        <v>22</v>
      </c>
    </row>
    <row r="330" customFormat="false" ht="15" hidden="false" customHeight="false" outlineLevel="0" collapsed="false">
      <c r="A330" s="10" t="n">
        <v>46139.5579166667</v>
      </c>
      <c r="B330" s="11" t="s">
        <v>221</v>
      </c>
      <c r="C330" s="11" t="s">
        <v>20</v>
      </c>
      <c r="D330" s="11" t="s">
        <v>21</v>
      </c>
      <c r="E330" s="0" t="n">
        <v>0</v>
      </c>
      <c r="F330" s="12" t="n">
        <v>2000</v>
      </c>
      <c r="G330" s="12" t="n">
        <v>47.95</v>
      </c>
      <c r="H330" s="12" t="n">
        <v>-1.98</v>
      </c>
      <c r="I330" s="12" t="n">
        <v>-1.34</v>
      </c>
      <c r="J330" s="12" t="n">
        <f aca="false">G330+H330+I330</f>
        <v>44.63</v>
      </c>
      <c r="K330" s="13" t="n">
        <f aca="false">IF(F330&gt;0,J330/F330,"")</f>
        <v>0.022315</v>
      </c>
      <c r="L330" s="11" t="s">
        <v>22</v>
      </c>
    </row>
    <row r="331" customFormat="false" ht="15" hidden="false" customHeight="false" outlineLevel="0" collapsed="false">
      <c r="A331" s="10" t="n">
        <v>46139.6457638889</v>
      </c>
      <c r="B331" s="11" t="s">
        <v>222</v>
      </c>
      <c r="C331" s="11" t="s">
        <v>20</v>
      </c>
      <c r="D331" s="11" t="s">
        <v>21</v>
      </c>
      <c r="E331" s="0" t="n">
        <v>3</v>
      </c>
      <c r="F331" s="12" t="n">
        <v>1999.98</v>
      </c>
      <c r="G331" s="12" t="n">
        <v>-1508.33</v>
      </c>
      <c r="H331" s="12" t="n">
        <v>-2.6</v>
      </c>
      <c r="I331" s="12" t="n">
        <v>20.4</v>
      </c>
      <c r="J331" s="12" t="n">
        <f aca="false">G331+H331+I331</f>
        <v>-1490.53</v>
      </c>
      <c r="K331" s="13" t="n">
        <f aca="false">IF(F331&gt;0,J331/F331,"")</f>
        <v>-0.745272452724527</v>
      </c>
      <c r="L331" s="11" t="s">
        <v>25</v>
      </c>
    </row>
    <row r="332" customFormat="false" ht="15" hidden="false" customHeight="false" outlineLevel="0" collapsed="false">
      <c r="A332" s="10" t="n">
        <v>46139.8559953704</v>
      </c>
      <c r="B332" s="11" t="s">
        <v>223</v>
      </c>
      <c r="C332" s="11" t="s">
        <v>20</v>
      </c>
      <c r="D332" s="11" t="s">
        <v>21</v>
      </c>
      <c r="E332" s="0" t="n">
        <v>0</v>
      </c>
      <c r="F332" s="12" t="n">
        <v>2000</v>
      </c>
      <c r="G332" s="12" t="n">
        <v>11.09</v>
      </c>
      <c r="H332" s="12" t="n">
        <v>-1.99</v>
      </c>
      <c r="I332" s="12" t="n">
        <v>0.9</v>
      </c>
      <c r="J332" s="12" t="n">
        <f aca="false">G332+H332+I332</f>
        <v>10</v>
      </c>
      <c r="K332" s="13" t="n">
        <f aca="false">IF(F332&gt;0,J332/F332,"")</f>
        <v>0.005</v>
      </c>
      <c r="L332" s="11" t="s">
        <v>22</v>
      </c>
    </row>
    <row r="333" customFormat="false" ht="15" hidden="false" customHeight="false" outlineLevel="0" collapsed="false">
      <c r="A333" s="10" t="n">
        <v>46140.1173726852</v>
      </c>
      <c r="B333" s="11" t="s">
        <v>224</v>
      </c>
      <c r="C333" s="11" t="s">
        <v>20</v>
      </c>
      <c r="D333" s="11" t="s">
        <v>21</v>
      </c>
      <c r="E333" s="0" t="n">
        <v>0</v>
      </c>
      <c r="F333" s="12" t="n">
        <v>1999.9</v>
      </c>
      <c r="G333" s="12" t="n">
        <v>104.74</v>
      </c>
      <c r="H333" s="12" t="n">
        <v>-1.95</v>
      </c>
      <c r="I333" s="12" t="n">
        <v>-0.03</v>
      </c>
      <c r="J333" s="12" t="n">
        <f aca="false">G333+H333+I333</f>
        <v>102.76</v>
      </c>
      <c r="K333" s="13" t="n">
        <f aca="false">IF(F333&gt;0,J333/F333,"")</f>
        <v>0.0513825691284564</v>
      </c>
      <c r="L333" s="11" t="s">
        <v>22</v>
      </c>
    </row>
    <row r="334" customFormat="false" ht="15" hidden="false" customHeight="false" outlineLevel="0" collapsed="false">
      <c r="A334" s="10" t="n">
        <v>46141.2093981481</v>
      </c>
      <c r="B334" s="11" t="s">
        <v>222</v>
      </c>
      <c r="C334" s="11" t="s">
        <v>20</v>
      </c>
      <c r="D334" s="11" t="s">
        <v>141</v>
      </c>
      <c r="E334" s="0" t="n">
        <v>109</v>
      </c>
      <c r="F334" s="12" t="n">
        <v>1006.67</v>
      </c>
      <c r="G334" s="12" t="n">
        <v>17.12</v>
      </c>
      <c r="H334" s="12" t="n">
        <v>-0.43</v>
      </c>
      <c r="I334" s="12" t="n">
        <v>0.06</v>
      </c>
      <c r="J334" s="12" t="n">
        <f aca="false">G334+H334+I334</f>
        <v>16.75</v>
      </c>
      <c r="K334" s="13" t="n">
        <f aca="false">IF(F334&gt;0,J334/F334,"")</f>
        <v>0.0166390177515969</v>
      </c>
      <c r="L334" s="11" t="s">
        <v>225</v>
      </c>
    </row>
    <row r="335" customFormat="false" ht="15" hidden="false" customHeight="false" outlineLevel="0" collapsed="false">
      <c r="A335" s="10" t="n">
        <v>46141.2293865741</v>
      </c>
      <c r="B335" s="11" t="s">
        <v>222</v>
      </c>
      <c r="C335" s="11" t="s">
        <v>20</v>
      </c>
      <c r="D335" s="11" t="s">
        <v>141</v>
      </c>
      <c r="E335" s="0" t="n">
        <v>0</v>
      </c>
      <c r="F335" s="12" t="n">
        <v>1.11</v>
      </c>
      <c r="G335" s="12" t="n">
        <v>0.01</v>
      </c>
      <c r="H335" s="12" t="n">
        <v>0</v>
      </c>
      <c r="I335" s="12" t="n">
        <v>0</v>
      </c>
      <c r="J335" s="12" t="n">
        <f aca="false">G335+H335+I335</f>
        <v>0.01</v>
      </c>
      <c r="K335" s="13" t="n">
        <f aca="false">IF(F335&gt;0,J335/F335,"")</f>
        <v>0.00900900900900901</v>
      </c>
      <c r="L335" s="11" t="s">
        <v>22</v>
      </c>
    </row>
    <row r="336" customFormat="false" ht="15" hidden="false" customHeight="false" outlineLevel="0" collapsed="false">
      <c r="A336" s="10" t="n">
        <v>46141.2872337963</v>
      </c>
      <c r="B336" s="11" t="s">
        <v>226</v>
      </c>
      <c r="C336" s="11" t="s">
        <v>20</v>
      </c>
      <c r="D336" s="11" t="s">
        <v>21</v>
      </c>
      <c r="E336" s="0" t="n">
        <v>0</v>
      </c>
      <c r="F336" s="12" t="n">
        <v>1999.96</v>
      </c>
      <c r="G336" s="12" t="n">
        <v>-15.68</v>
      </c>
      <c r="H336" s="12" t="n">
        <v>-2.01</v>
      </c>
      <c r="I336" s="12" t="n">
        <v>0.55</v>
      </c>
      <c r="J336" s="12" t="n">
        <f aca="false">G336+H336+I336</f>
        <v>-17.14</v>
      </c>
      <c r="K336" s="13" t="n">
        <f aca="false">IF(F336&gt;0,J336/F336,"")</f>
        <v>-0.00857017140342807</v>
      </c>
      <c r="L336" s="11" t="s">
        <v>25</v>
      </c>
    </row>
    <row r="337" customFormat="false" ht="15" hidden="false" customHeight="false" outlineLevel="0" collapsed="false">
      <c r="A337" s="10" t="n">
        <v>46141.2980787037</v>
      </c>
      <c r="B337" s="11" t="s">
        <v>178</v>
      </c>
      <c r="C337" s="11" t="s">
        <v>20</v>
      </c>
      <c r="D337" s="11" t="s">
        <v>141</v>
      </c>
      <c r="E337" s="0" t="n">
        <v>428</v>
      </c>
      <c r="F337" s="12" t="n">
        <v>13090.33</v>
      </c>
      <c r="G337" s="12" t="n">
        <v>-13.84</v>
      </c>
      <c r="H337" s="12" t="n">
        <v>-5.75</v>
      </c>
      <c r="I337" s="12" t="n">
        <v>10.15</v>
      </c>
      <c r="J337" s="12" t="n">
        <f aca="false">G337+H337+I337</f>
        <v>-9.44</v>
      </c>
      <c r="K337" s="13" t="n">
        <f aca="false">IF(F337&gt;0,J337/F337,"")</f>
        <v>-0.000721143011673503</v>
      </c>
      <c r="L337" s="11" t="s">
        <v>25</v>
      </c>
    </row>
    <row r="338" customFormat="false" ht="15" hidden="false" customHeight="false" outlineLevel="0" collapsed="false">
      <c r="A338" s="10" t="n">
        <v>46141.7757523148</v>
      </c>
      <c r="B338" s="11" t="s">
        <v>146</v>
      </c>
      <c r="C338" s="11" t="s">
        <v>20</v>
      </c>
      <c r="D338" s="11" t="s">
        <v>21</v>
      </c>
      <c r="E338" s="0" t="n">
        <v>0</v>
      </c>
      <c r="F338" s="12" t="n">
        <v>1999.99</v>
      </c>
      <c r="G338" s="12" t="n">
        <v>0.16</v>
      </c>
      <c r="H338" s="12" t="n">
        <v>-2</v>
      </c>
      <c r="I338" s="12" t="n">
        <v>0.93</v>
      </c>
      <c r="J338" s="12" t="n">
        <f aca="false">G338+H338+I338</f>
        <v>-0.91</v>
      </c>
      <c r="K338" s="13" t="n">
        <f aca="false">IF(F338&gt;0,J338/F338,"")</f>
        <v>-0.000455002275011375</v>
      </c>
      <c r="L338" s="11" t="s">
        <v>25</v>
      </c>
    </row>
    <row r="339" customFormat="false" ht="15" hidden="false" customHeight="false" outlineLevel="0" collapsed="false">
      <c r="A339" s="10" t="n">
        <v>46141.8025925926</v>
      </c>
      <c r="B339" s="11" t="s">
        <v>90</v>
      </c>
      <c r="C339" s="11" t="s">
        <v>20</v>
      </c>
      <c r="D339" s="11" t="s">
        <v>141</v>
      </c>
      <c r="E339" s="0" t="n">
        <v>0</v>
      </c>
      <c r="F339" s="12" t="n">
        <v>478.2</v>
      </c>
      <c r="G339" s="12" t="n">
        <v>-1.71</v>
      </c>
      <c r="H339" s="12" t="n">
        <v>-0.47</v>
      </c>
      <c r="I339" s="12" t="n">
        <v>0</v>
      </c>
      <c r="J339" s="12" t="n">
        <f aca="false">G339+H339+I339</f>
        <v>-2.18</v>
      </c>
      <c r="K339" s="13" t="n">
        <f aca="false">IF(F339&gt;0,J339/F339,"")</f>
        <v>-0.00455876202425763</v>
      </c>
      <c r="L339" s="11" t="s">
        <v>25</v>
      </c>
    </row>
    <row r="340" customFormat="false" ht="15" hidden="false" customHeight="false" outlineLevel="0" collapsed="false">
      <c r="A340" s="10" t="n">
        <v>46141.8558796296</v>
      </c>
      <c r="B340" s="11" t="s">
        <v>34</v>
      </c>
      <c r="C340" s="11" t="s">
        <v>20</v>
      </c>
      <c r="D340" s="11" t="s">
        <v>21</v>
      </c>
      <c r="E340" s="0" t="n">
        <v>0</v>
      </c>
      <c r="F340" s="12" t="n">
        <v>2000</v>
      </c>
      <c r="G340" s="12" t="n">
        <v>-312.61</v>
      </c>
      <c r="H340" s="12" t="n">
        <v>-2.16</v>
      </c>
      <c r="I340" s="12" t="n">
        <v>-3.46</v>
      </c>
      <c r="J340" s="12" t="n">
        <f aca="false">G340+H340+I340</f>
        <v>-318.23</v>
      </c>
      <c r="K340" s="13" t="n">
        <f aca="false">IF(F340&gt;0,J340/F340,"")</f>
        <v>-0.159115</v>
      </c>
      <c r="L340" s="11" t="s">
        <v>25</v>
      </c>
    </row>
    <row r="341" customFormat="false" ht="15" hidden="false" customHeight="false" outlineLevel="0" collapsed="false">
      <c r="A341" s="10" t="n">
        <v>46142.8193055556</v>
      </c>
      <c r="B341" s="11" t="s">
        <v>227</v>
      </c>
      <c r="C341" s="11" t="s">
        <v>20</v>
      </c>
      <c r="D341" s="11" t="s">
        <v>141</v>
      </c>
      <c r="E341" s="0" t="n">
        <v>40</v>
      </c>
      <c r="F341" s="12" t="n">
        <v>1441.95</v>
      </c>
      <c r="G341" s="12" t="n">
        <v>5.88</v>
      </c>
      <c r="H341" s="12" t="n">
        <v>-0.88</v>
      </c>
      <c r="I341" s="12" t="n">
        <v>0.25</v>
      </c>
      <c r="J341" s="12" t="n">
        <f aca="false">G341+H341+I341</f>
        <v>5.25</v>
      </c>
      <c r="K341" s="13" t="n">
        <f aca="false">IF(F341&gt;0,J341/F341,"")</f>
        <v>0.00364090294393009</v>
      </c>
      <c r="L341" s="11" t="s">
        <v>228</v>
      </c>
    </row>
    <row r="342" customFormat="false" ht="15" hidden="false" customHeight="false" outlineLevel="0" collapsed="false">
      <c r="A342" s="10" t="n">
        <v>46143.709375</v>
      </c>
      <c r="B342" s="11" t="s">
        <v>222</v>
      </c>
      <c r="C342" s="11" t="s">
        <v>20</v>
      </c>
      <c r="D342" s="11" t="s">
        <v>141</v>
      </c>
      <c r="E342" s="0" t="n">
        <v>144</v>
      </c>
      <c r="F342" s="12" t="n">
        <v>4238.19</v>
      </c>
      <c r="G342" s="12" t="n">
        <v>-23.73</v>
      </c>
      <c r="H342" s="12" t="n">
        <v>-1.85</v>
      </c>
      <c r="I342" s="12" t="n">
        <v>1.59</v>
      </c>
      <c r="J342" s="12" t="n">
        <f aca="false">G342+H342+I342</f>
        <v>-23.99</v>
      </c>
      <c r="K342" s="13" t="n">
        <f aca="false">IF(F342&gt;0,J342/F342,"")</f>
        <v>-0.00566043523296502</v>
      </c>
      <c r="L342" s="11" t="s">
        <v>25</v>
      </c>
    </row>
    <row r="343" customFormat="false" ht="15" hidden="false" customHeight="false" outlineLevel="0" collapsed="false">
      <c r="A343" s="10" t="n">
        <v>46143.7306597222</v>
      </c>
      <c r="B343" s="11" t="s">
        <v>37</v>
      </c>
      <c r="C343" s="11" t="s">
        <v>20</v>
      </c>
      <c r="D343" s="11" t="s">
        <v>141</v>
      </c>
      <c r="E343" s="0" t="n">
        <v>24</v>
      </c>
      <c r="F343" s="12" t="n">
        <v>2209.77</v>
      </c>
      <c r="G343" s="12" t="n">
        <v>36.5</v>
      </c>
      <c r="H343" s="12" t="n">
        <v>-1.45</v>
      </c>
      <c r="I343" s="12" t="n">
        <v>0.12</v>
      </c>
      <c r="J343" s="12" t="n">
        <f aca="false">G343+H343+I343</f>
        <v>35.17</v>
      </c>
      <c r="K343" s="13" t="n">
        <f aca="false">IF(F343&gt;0,J343/F343,"")</f>
        <v>0.0159156835326753</v>
      </c>
      <c r="L343" s="11" t="s">
        <v>229</v>
      </c>
    </row>
    <row r="344" customFormat="false" ht="15" hidden="false" customHeight="false" outlineLevel="0" collapsed="false">
      <c r="A344" s="10" t="n">
        <v>46143.8747685185</v>
      </c>
      <c r="B344" s="11" t="s">
        <v>178</v>
      </c>
      <c r="C344" s="11" t="s">
        <v>20</v>
      </c>
      <c r="D344" s="11" t="s">
        <v>141</v>
      </c>
      <c r="E344" s="0" t="n">
        <v>105</v>
      </c>
      <c r="F344" s="12" t="n">
        <v>4020.29</v>
      </c>
      <c r="G344" s="12" t="n">
        <v>-142.52</v>
      </c>
      <c r="H344" s="12" t="n">
        <v>-2.12</v>
      </c>
      <c r="I344" s="12" t="n">
        <v>2.87</v>
      </c>
      <c r="J344" s="12" t="n">
        <f aca="false">G344+H344+I344</f>
        <v>-141.77</v>
      </c>
      <c r="K344" s="13" t="n">
        <f aca="false">IF(F344&gt;0,J344/F344,"")</f>
        <v>-0.0352636252608643</v>
      </c>
      <c r="L344" s="11" t="s">
        <v>25</v>
      </c>
    </row>
    <row r="345" customFormat="false" ht="15" hidden="false" customHeight="false" outlineLevel="0" collapsed="false">
      <c r="A345" s="10" t="n">
        <v>46146.396087963</v>
      </c>
      <c r="B345" s="11" t="s">
        <v>230</v>
      </c>
      <c r="C345" s="11" t="s">
        <v>20</v>
      </c>
      <c r="D345" s="11" t="s">
        <v>21</v>
      </c>
      <c r="E345" s="0" t="n">
        <v>0</v>
      </c>
      <c r="F345" s="12" t="n">
        <v>2000</v>
      </c>
      <c r="G345" s="12" t="n">
        <v>1.9</v>
      </c>
      <c r="H345" s="12" t="n">
        <v>-2</v>
      </c>
      <c r="I345" s="12" t="n">
        <v>0</v>
      </c>
      <c r="J345" s="12" t="n">
        <f aca="false">G345+H345+I345</f>
        <v>-0.1</v>
      </c>
      <c r="K345" s="13" t="n">
        <f aca="false">IF(F345&gt;0,J345/F345,"")</f>
        <v>-5E-005</v>
      </c>
      <c r="L345" s="11" t="s">
        <v>25</v>
      </c>
    </row>
    <row r="346" customFormat="false" ht="15" hidden="false" customHeight="false" outlineLevel="0" collapsed="false">
      <c r="A346" s="10" t="n">
        <v>46146.3974074074</v>
      </c>
      <c r="B346" s="11" t="s">
        <v>90</v>
      </c>
      <c r="C346" s="11" t="s">
        <v>20</v>
      </c>
      <c r="D346" s="11" t="s">
        <v>141</v>
      </c>
      <c r="E346" s="0" t="n">
        <v>231</v>
      </c>
      <c r="F346" s="12" t="n">
        <v>22502.48</v>
      </c>
      <c r="G346" s="12" t="n">
        <v>7.83</v>
      </c>
      <c r="H346" s="12" t="n">
        <v>-9.93</v>
      </c>
      <c r="I346" s="12" t="n">
        <v>0.75</v>
      </c>
      <c r="J346" s="12" t="n">
        <f aca="false">G346+H346+I346</f>
        <v>-1.35</v>
      </c>
      <c r="K346" s="13" t="n">
        <f aca="false">IF(F346&gt;0,J346/F346,"")</f>
        <v>-5.99933873955226E-005</v>
      </c>
      <c r="L346" s="11" t="s">
        <v>25</v>
      </c>
    </row>
    <row r="347" customFormat="false" ht="15" hidden="false" customHeight="false" outlineLevel="0" collapsed="false">
      <c r="A347" s="10" t="n">
        <v>46147.6129513889</v>
      </c>
      <c r="B347" s="11" t="s">
        <v>231</v>
      </c>
      <c r="C347" s="11" t="s">
        <v>20</v>
      </c>
      <c r="D347" s="11" t="s">
        <v>21</v>
      </c>
      <c r="E347" s="0" t="n">
        <v>0</v>
      </c>
      <c r="F347" s="12" t="n">
        <v>1999.95</v>
      </c>
      <c r="G347" s="12" t="n">
        <v>-16.81</v>
      </c>
      <c r="H347" s="12" t="n">
        <v>-2.01</v>
      </c>
      <c r="I347" s="12" t="n">
        <v>0</v>
      </c>
      <c r="J347" s="12" t="n">
        <f aca="false">G347+H347+I347</f>
        <v>-18.82</v>
      </c>
      <c r="K347" s="13" t="n">
        <f aca="false">IF(F347&gt;0,J347/F347,"")</f>
        <v>-0.0094102352558814</v>
      </c>
      <c r="L347" s="11" t="s">
        <v>25</v>
      </c>
    </row>
    <row r="348" customFormat="false" ht="15" hidden="false" customHeight="false" outlineLevel="0" collapsed="false">
      <c r="A348" s="10" t="n">
        <v>46148.8663078704</v>
      </c>
      <c r="B348" s="11" t="s">
        <v>232</v>
      </c>
      <c r="C348" s="11" t="s">
        <v>20</v>
      </c>
      <c r="D348" s="11" t="s">
        <v>21</v>
      </c>
      <c r="E348" s="0" t="n">
        <v>0</v>
      </c>
      <c r="F348" s="12" t="n">
        <v>1999.92</v>
      </c>
      <c r="G348" s="12" t="n">
        <v>20.53</v>
      </c>
      <c r="H348" s="12" t="n">
        <v>-1.99</v>
      </c>
      <c r="I348" s="12" t="n">
        <v>-0.09</v>
      </c>
      <c r="J348" s="12" t="n">
        <f aca="false">G348+H348+I348</f>
        <v>18.45</v>
      </c>
      <c r="K348" s="13" t="n">
        <f aca="false">IF(F348&gt;0,J348/F348,"")</f>
        <v>0.00922536901476059</v>
      </c>
      <c r="L348" s="11" t="s">
        <v>22</v>
      </c>
    </row>
    <row r="349" customFormat="false" ht="15" hidden="false" customHeight="false" outlineLevel="0" collapsed="false">
      <c r="A349" s="10" t="n">
        <v>46149.6122222222</v>
      </c>
      <c r="B349" s="11" t="s">
        <v>233</v>
      </c>
      <c r="C349" s="11" t="s">
        <v>20</v>
      </c>
      <c r="D349" s="11" t="s">
        <v>21</v>
      </c>
      <c r="E349" s="0" t="n">
        <v>0</v>
      </c>
      <c r="F349" s="12" t="n">
        <v>1999.99</v>
      </c>
      <c r="G349" s="12" t="n">
        <v>94.67</v>
      </c>
      <c r="H349" s="12" t="n">
        <v>-1.95</v>
      </c>
      <c r="I349" s="12" t="n">
        <v>0.16</v>
      </c>
      <c r="J349" s="12" t="n">
        <f aca="false">G349+H349+I349</f>
        <v>92.88</v>
      </c>
      <c r="K349" s="13" t="n">
        <f aca="false">IF(F349&gt;0,J349/F349,"")</f>
        <v>0.046440232201161</v>
      </c>
      <c r="L349" s="11" t="s">
        <v>22</v>
      </c>
    </row>
    <row r="350" customFormat="false" ht="15" hidden="false" customHeight="false" outlineLevel="0" collapsed="false">
      <c r="A350" s="10" t="n">
        <v>46149.6298611111</v>
      </c>
      <c r="B350" s="11" t="s">
        <v>234</v>
      </c>
      <c r="C350" s="11" t="s">
        <v>20</v>
      </c>
      <c r="D350" s="11" t="s">
        <v>141</v>
      </c>
      <c r="E350" s="0" t="n">
        <v>41</v>
      </c>
      <c r="F350" s="12" t="n">
        <v>497.5</v>
      </c>
      <c r="G350" s="12" t="n">
        <v>3.69</v>
      </c>
      <c r="H350" s="12" t="n">
        <v>-0.3</v>
      </c>
      <c r="I350" s="12" t="n">
        <v>0.03</v>
      </c>
      <c r="J350" s="12" t="n">
        <f aca="false">G350+H350+I350</f>
        <v>3.42</v>
      </c>
      <c r="K350" s="13" t="n">
        <f aca="false">IF(F350&gt;0,J350/F350,"")</f>
        <v>0.00687437185929648</v>
      </c>
      <c r="L350" s="11" t="s">
        <v>235</v>
      </c>
    </row>
    <row r="351" customFormat="false" ht="15" hidden="false" customHeight="false" outlineLevel="0" collapsed="false">
      <c r="A351" s="10" t="n">
        <v>46151.5854282407</v>
      </c>
      <c r="B351" s="11" t="s">
        <v>233</v>
      </c>
      <c r="C351" s="11" t="s">
        <v>20</v>
      </c>
      <c r="D351" s="11" t="s">
        <v>21</v>
      </c>
      <c r="E351" s="0" t="n">
        <v>0</v>
      </c>
      <c r="F351" s="12" t="n">
        <v>1999.98</v>
      </c>
      <c r="G351" s="12" t="n">
        <v>83.78</v>
      </c>
      <c r="H351" s="12" t="n">
        <v>-1.96</v>
      </c>
      <c r="I351" s="12" t="n">
        <v>0.44</v>
      </c>
      <c r="J351" s="12" t="n">
        <f aca="false">G351+H351+I351</f>
        <v>82.26</v>
      </c>
      <c r="K351" s="13" t="n">
        <f aca="false">IF(F351&gt;0,J351/F351,"")</f>
        <v>0.041130411304113</v>
      </c>
      <c r="L351" s="11" t="s">
        <v>22</v>
      </c>
    </row>
    <row r="352" customFormat="false" ht="15" hidden="false" customHeight="false" outlineLevel="0" collapsed="false">
      <c r="A352" s="10" t="n">
        <v>46152.7524189815</v>
      </c>
      <c r="B352" s="11" t="s">
        <v>236</v>
      </c>
      <c r="C352" s="11" t="s">
        <v>20</v>
      </c>
      <c r="D352" s="11" t="s">
        <v>21</v>
      </c>
      <c r="E352" s="0" t="n">
        <v>0</v>
      </c>
      <c r="F352" s="12" t="n">
        <v>1000</v>
      </c>
      <c r="G352" s="12" t="n">
        <v>-55.38</v>
      </c>
      <c r="H352" s="12" t="n">
        <v>-0.73</v>
      </c>
      <c r="I352" s="12" t="n">
        <v>0</v>
      </c>
      <c r="J352" s="12" t="n">
        <f aca="false">G352+H352+I352</f>
        <v>-56.11</v>
      </c>
      <c r="K352" s="13" t="n">
        <f aca="false">IF(F352&gt;0,J352/F352,"")</f>
        <v>-0.05611</v>
      </c>
      <c r="L352" s="11" t="s">
        <v>25</v>
      </c>
    </row>
    <row r="353" customFormat="false" ht="15" hidden="false" customHeight="false" outlineLevel="0" collapsed="false">
      <c r="A353" s="10" t="n">
        <v>46154.6030439815</v>
      </c>
      <c r="B353" s="11" t="s">
        <v>237</v>
      </c>
      <c r="C353" s="11" t="s">
        <v>20</v>
      </c>
      <c r="D353" s="11" t="s">
        <v>141</v>
      </c>
      <c r="E353" s="0" t="n">
        <v>199</v>
      </c>
      <c r="F353" s="12" t="n">
        <v>3452.98</v>
      </c>
      <c r="G353" s="12" t="n">
        <v>118.22</v>
      </c>
      <c r="H353" s="12" t="n">
        <v>-1.67</v>
      </c>
      <c r="I353" s="12" t="n">
        <v>-0.29</v>
      </c>
      <c r="J353" s="12" t="n">
        <f aca="false">G353+H353+I353</f>
        <v>116.26</v>
      </c>
      <c r="K353" s="13" t="n">
        <f aca="false">IF(F353&gt;0,J353/F353,"")</f>
        <v>0.0336694681116022</v>
      </c>
      <c r="L353" s="11" t="s">
        <v>238</v>
      </c>
    </row>
    <row r="354" customFormat="false" ht="15" hidden="false" customHeight="false" outlineLevel="0" collapsed="false">
      <c r="A354" s="10" t="n">
        <v>46154.6187847222</v>
      </c>
      <c r="B354" s="11" t="s">
        <v>214</v>
      </c>
      <c r="C354" s="11" t="s">
        <v>20</v>
      </c>
      <c r="D354" s="11" t="s">
        <v>21</v>
      </c>
      <c r="E354" s="0" t="n">
        <v>0</v>
      </c>
      <c r="F354" s="12" t="n">
        <v>2000</v>
      </c>
      <c r="G354" s="12" t="n">
        <v>52.77</v>
      </c>
      <c r="H354" s="12" t="n">
        <v>-1.97</v>
      </c>
      <c r="I354" s="12" t="n">
        <v>1.84</v>
      </c>
      <c r="J354" s="12" t="n">
        <f aca="false">G354+H354+I354</f>
        <v>52.64</v>
      </c>
      <c r="K354" s="13" t="n">
        <f aca="false">IF(F354&gt;0,J354/F354,"")</f>
        <v>0.02632</v>
      </c>
      <c r="L354" s="11" t="s">
        <v>22</v>
      </c>
    </row>
    <row r="355" customFormat="false" ht="15" hidden="false" customHeight="false" outlineLevel="0" collapsed="false">
      <c r="A355" s="10" t="n">
        <v>46154.6701157407</v>
      </c>
      <c r="B355" s="11" t="s">
        <v>160</v>
      </c>
      <c r="C355" s="11" t="s">
        <v>20</v>
      </c>
      <c r="D355" s="11" t="s">
        <v>21</v>
      </c>
      <c r="E355" s="0" t="n">
        <v>0</v>
      </c>
      <c r="F355" s="12" t="n">
        <v>100</v>
      </c>
      <c r="G355" s="12" t="n">
        <v>4.89</v>
      </c>
      <c r="H355" s="12" t="n">
        <v>-0.1</v>
      </c>
      <c r="I355" s="12" t="n">
        <v>0.04</v>
      </c>
      <c r="J355" s="12" t="n">
        <f aca="false">G355+H355+I355</f>
        <v>4.83</v>
      </c>
      <c r="K355" s="13" t="n">
        <f aca="false">IF(F355&gt;0,J355/F355,"")</f>
        <v>0.0483</v>
      </c>
      <c r="L355" s="11" t="s">
        <v>22</v>
      </c>
    </row>
    <row r="356" customFormat="false" ht="15" hidden="false" customHeight="false" outlineLevel="0" collapsed="false">
      <c r="A356" s="10" t="n">
        <v>46154.9113773148</v>
      </c>
      <c r="B356" s="11" t="s">
        <v>239</v>
      </c>
      <c r="C356" s="11" t="s">
        <v>20</v>
      </c>
      <c r="D356" s="11" t="s">
        <v>21</v>
      </c>
      <c r="E356" s="0" t="n">
        <v>1</v>
      </c>
      <c r="F356" s="12" t="n">
        <v>1100</v>
      </c>
      <c r="G356" s="12" t="n">
        <v>147.74</v>
      </c>
      <c r="H356" s="12" t="n">
        <v>-0.73</v>
      </c>
      <c r="I356" s="12" t="n">
        <v>0</v>
      </c>
      <c r="J356" s="12" t="n">
        <f aca="false">G356+H356+I356</f>
        <v>147.01</v>
      </c>
      <c r="K356" s="13" t="n">
        <f aca="false">IF(F356&gt;0,J356/F356,"")</f>
        <v>0.133645454545455</v>
      </c>
      <c r="L356" s="11" t="s">
        <v>29</v>
      </c>
    </row>
    <row r="357" customFormat="false" ht="15" hidden="false" customHeight="false" outlineLevel="0" collapsed="false">
      <c r="A357" s="10" t="n">
        <v>46155.3392708333</v>
      </c>
      <c r="B357" s="11" t="s">
        <v>148</v>
      </c>
      <c r="C357" s="11" t="s">
        <v>169</v>
      </c>
      <c r="D357" s="11" t="s">
        <v>21</v>
      </c>
      <c r="E357" s="0" t="n">
        <v>0</v>
      </c>
      <c r="F357" s="12" t="n">
        <v>100</v>
      </c>
      <c r="G357" s="12" t="n">
        <v>1.14</v>
      </c>
      <c r="H357" s="12" t="n">
        <v>-0.1</v>
      </c>
      <c r="I357" s="12" t="n">
        <v>0</v>
      </c>
      <c r="J357" s="12" t="n">
        <f aca="false">G357+H357+I357</f>
        <v>1.04</v>
      </c>
      <c r="K357" s="13" t="n">
        <f aca="false">IF(F357&gt;0,J357/F357,"")</f>
        <v>0.0104</v>
      </c>
      <c r="L357" s="11" t="s">
        <v>22</v>
      </c>
    </row>
    <row r="358" customFormat="false" ht="15" hidden="false" customHeight="false" outlineLevel="0" collapsed="false">
      <c r="A358" s="10" t="n">
        <v>46156.6004398148</v>
      </c>
      <c r="B358" s="11" t="s">
        <v>217</v>
      </c>
      <c r="C358" s="11" t="s">
        <v>20</v>
      </c>
      <c r="D358" s="11" t="s">
        <v>21</v>
      </c>
      <c r="E358" s="0" t="n">
        <v>0</v>
      </c>
      <c r="F358" s="12" t="n">
        <v>999.88</v>
      </c>
      <c r="G358" s="12" t="n">
        <v>125.93</v>
      </c>
      <c r="H358" s="12" t="n">
        <v>-0.94</v>
      </c>
      <c r="I358" s="12" t="n">
        <v>-1.32</v>
      </c>
      <c r="J358" s="12" t="n">
        <f aca="false">G358+H358+I358</f>
        <v>123.67</v>
      </c>
      <c r="K358" s="13" t="n">
        <f aca="false">IF(F358&gt;0,J358/F358,"")</f>
        <v>0.123684842181062</v>
      </c>
      <c r="L358" s="11" t="s">
        <v>22</v>
      </c>
    </row>
    <row r="359" customFormat="false" ht="15" hidden="false" customHeight="false" outlineLevel="0" collapsed="false">
      <c r="A359" s="10" t="n">
        <v>46156.7100115741</v>
      </c>
      <c r="B359" s="11" t="s">
        <v>53</v>
      </c>
      <c r="C359" s="11" t="s">
        <v>20</v>
      </c>
      <c r="D359" s="11" t="s">
        <v>21</v>
      </c>
      <c r="E359" s="0" t="n">
        <v>0</v>
      </c>
      <c r="F359" s="12" t="n">
        <v>999.99</v>
      </c>
      <c r="G359" s="12" t="n">
        <v>102.36</v>
      </c>
      <c r="H359" s="12" t="n">
        <v>-0.95</v>
      </c>
      <c r="I359" s="12" t="n">
        <v>-0.54</v>
      </c>
      <c r="J359" s="12" t="n">
        <f aca="false">G359+H359+I359</f>
        <v>100.87</v>
      </c>
      <c r="K359" s="13" t="n">
        <f aca="false">IF(F359&gt;0,J359/F359,"")</f>
        <v>0.100871008710087</v>
      </c>
      <c r="L359" s="11" t="s">
        <v>22</v>
      </c>
    </row>
    <row r="360" customFormat="false" ht="15" hidden="false" customHeight="false" outlineLevel="0" collapsed="false">
      <c r="A360" s="10" t="n">
        <v>46156.817974537</v>
      </c>
      <c r="B360" s="11" t="s">
        <v>160</v>
      </c>
      <c r="C360" s="11" t="s">
        <v>20</v>
      </c>
      <c r="D360" s="11" t="s">
        <v>21</v>
      </c>
      <c r="E360" s="0" t="n">
        <v>1</v>
      </c>
      <c r="F360" s="12" t="n">
        <v>1999.97</v>
      </c>
      <c r="G360" s="12" t="n">
        <v>175.51</v>
      </c>
      <c r="H360" s="12" t="n">
        <v>-1.91</v>
      </c>
      <c r="I360" s="12" t="n">
        <v>3.59</v>
      </c>
      <c r="J360" s="12" t="n">
        <f aca="false">G360+H360+I360</f>
        <v>177.19</v>
      </c>
      <c r="K360" s="13" t="n">
        <f aca="false">IF(F360&gt;0,J360/F360,"")</f>
        <v>0.0885963289449342</v>
      </c>
      <c r="L360" s="11" t="s">
        <v>29</v>
      </c>
    </row>
    <row r="361" customFormat="false" ht="15" hidden="false" customHeight="false" outlineLevel="0" collapsed="false">
      <c r="A361" s="10" t="n">
        <v>46157.3713773148</v>
      </c>
      <c r="B361" s="11" t="s">
        <v>240</v>
      </c>
      <c r="C361" s="11" t="s">
        <v>20</v>
      </c>
      <c r="D361" s="11" t="s">
        <v>21</v>
      </c>
      <c r="E361" s="0" t="n">
        <v>0</v>
      </c>
      <c r="F361" s="12" t="n">
        <v>2000</v>
      </c>
      <c r="G361" s="12" t="n">
        <v>45.73</v>
      </c>
      <c r="H361" s="12" t="n">
        <v>-1.98</v>
      </c>
      <c r="I361" s="12" t="n">
        <v>-0.02</v>
      </c>
      <c r="J361" s="12" t="n">
        <f aca="false">G361+H361+I361</f>
        <v>43.73</v>
      </c>
      <c r="K361" s="13" t="n">
        <f aca="false">IF(F361&gt;0,J361/F361,"")</f>
        <v>0.021865</v>
      </c>
      <c r="L361" s="11" t="s">
        <v>22</v>
      </c>
    </row>
    <row r="362" customFormat="false" ht="15" hidden="false" customHeight="false" outlineLevel="0" collapsed="false">
      <c r="A362" s="10" t="n">
        <v>46157.6885648148</v>
      </c>
      <c r="B362" s="11" t="s">
        <v>90</v>
      </c>
      <c r="C362" s="11" t="s">
        <v>20</v>
      </c>
      <c r="D362" s="11" t="s">
        <v>21</v>
      </c>
      <c r="E362" s="0" t="n">
        <v>2</v>
      </c>
      <c r="F362" s="12" t="n">
        <v>3981.08</v>
      </c>
      <c r="G362" s="12" t="n">
        <v>84.53</v>
      </c>
      <c r="H362" s="12" t="n">
        <v>-3.04</v>
      </c>
      <c r="I362" s="12" t="n">
        <v>-18.33</v>
      </c>
      <c r="J362" s="12" t="n">
        <f aca="false">G362+H362+I362</f>
        <v>63.16</v>
      </c>
      <c r="K362" s="13" t="n">
        <f aca="false">IF(F362&gt;0,J362/F362,"")</f>
        <v>0.0158650416469903</v>
      </c>
      <c r="L362" s="11" t="s">
        <v>61</v>
      </c>
    </row>
    <row r="363" customFormat="false" ht="15" hidden="false" customHeight="false" outlineLevel="0" collapsed="false">
      <c r="A363" s="10" t="n">
        <v>46160.1243287037</v>
      </c>
      <c r="B363" s="11" t="s">
        <v>241</v>
      </c>
      <c r="C363" s="11" t="s">
        <v>20</v>
      </c>
      <c r="D363" s="11" t="s">
        <v>21</v>
      </c>
      <c r="E363" s="0" t="n">
        <v>0</v>
      </c>
      <c r="F363" s="12" t="n">
        <v>499.97</v>
      </c>
      <c r="G363" s="12" t="n">
        <v>100.95</v>
      </c>
      <c r="H363" s="12" t="n">
        <v>-0.45</v>
      </c>
      <c r="I363" s="12" t="n">
        <v>0.19</v>
      </c>
      <c r="J363" s="12" t="n">
        <f aca="false">G363+H363+I363</f>
        <v>100.69</v>
      </c>
      <c r="K363" s="13" t="n">
        <f aca="false">IF(F363&gt;0,J363/F363,"")</f>
        <v>0.201392083525011</v>
      </c>
      <c r="L363" s="11" t="s">
        <v>22</v>
      </c>
    </row>
    <row r="364" customFormat="false" ht="15" hidden="false" customHeight="false" outlineLevel="0" collapsed="false">
      <c r="A364" s="10" t="n">
        <v>46160.6940393519</v>
      </c>
      <c r="B364" s="11" t="s">
        <v>31</v>
      </c>
      <c r="C364" s="11" t="s">
        <v>20</v>
      </c>
      <c r="D364" s="11" t="s">
        <v>21</v>
      </c>
      <c r="E364" s="0" t="n">
        <v>0</v>
      </c>
      <c r="F364" s="12" t="n">
        <v>999.99</v>
      </c>
      <c r="G364" s="12" t="n">
        <v>168.19</v>
      </c>
      <c r="H364" s="12" t="n">
        <v>-0.92</v>
      </c>
      <c r="I364" s="12" t="n">
        <v>-12.2</v>
      </c>
      <c r="J364" s="12" t="n">
        <f aca="false">G364+H364+I364</f>
        <v>155.07</v>
      </c>
      <c r="K364" s="13" t="n">
        <f aca="false">IF(F364&gt;0,J364/F364,"")</f>
        <v>0.155071550715507</v>
      </c>
      <c r="L364" s="11" t="s">
        <v>22</v>
      </c>
    </row>
    <row r="365" customFormat="false" ht="15" hidden="false" customHeight="false" outlineLevel="0" collapsed="false">
      <c r="A365" s="10" t="n">
        <v>46160.8558680556</v>
      </c>
      <c r="B365" s="11" t="s">
        <v>178</v>
      </c>
      <c r="C365" s="11" t="s">
        <v>20</v>
      </c>
      <c r="D365" s="11" t="s">
        <v>21</v>
      </c>
      <c r="E365" s="0" t="n">
        <v>5</v>
      </c>
      <c r="F365" s="12" t="n">
        <v>5516.35</v>
      </c>
      <c r="G365" s="12" t="n">
        <v>436.2</v>
      </c>
      <c r="H365" s="12" t="n">
        <v>-4.39</v>
      </c>
      <c r="I365" s="12" t="n">
        <v>-730.71</v>
      </c>
      <c r="J365" s="12" t="n">
        <f aca="false">G365+H365+I365</f>
        <v>-298.9</v>
      </c>
      <c r="K365" s="13" t="n">
        <f aca="false">IF(F365&gt;0,J365/F365,"")</f>
        <v>-0.0541843791637587</v>
      </c>
      <c r="L365" s="11" t="s">
        <v>25</v>
      </c>
    </row>
    <row r="366" customFormat="false" ht="15" hidden="false" customHeight="false" outlineLevel="0" collapsed="false">
      <c r="A366" s="10" t="n">
        <v>46161.5044907407</v>
      </c>
      <c r="B366" s="11" t="s">
        <v>242</v>
      </c>
      <c r="C366" s="11" t="s">
        <v>20</v>
      </c>
      <c r="D366" s="11" t="s">
        <v>21</v>
      </c>
      <c r="E366" s="0" t="n">
        <v>0</v>
      </c>
      <c r="F366" s="12" t="n">
        <v>1000</v>
      </c>
      <c r="G366" s="12" t="n">
        <v>104.63</v>
      </c>
      <c r="H366" s="12" t="n">
        <v>-0.95</v>
      </c>
      <c r="I366" s="12" t="n">
        <v>-0.19</v>
      </c>
      <c r="J366" s="12" t="n">
        <f aca="false">G366+H366+I366</f>
        <v>103.49</v>
      </c>
      <c r="K366" s="13" t="n">
        <f aca="false">IF(F366&gt;0,J366/F366,"")</f>
        <v>0.10349</v>
      </c>
      <c r="L366" s="11" t="s">
        <v>22</v>
      </c>
    </row>
    <row r="367" customFormat="false" ht="15" hidden="false" customHeight="false" outlineLevel="0" collapsed="false">
      <c r="A367" s="10" t="n">
        <v>46163.8702083333</v>
      </c>
      <c r="B367" s="11" t="s">
        <v>243</v>
      </c>
      <c r="C367" s="11" t="s">
        <v>20</v>
      </c>
      <c r="D367" s="11" t="s">
        <v>21</v>
      </c>
      <c r="E367" s="0" t="n">
        <v>0</v>
      </c>
      <c r="F367" s="12" t="n">
        <v>1000</v>
      </c>
      <c r="G367" s="12" t="n">
        <v>24.33</v>
      </c>
      <c r="H367" s="12" t="n">
        <v>-0.99</v>
      </c>
      <c r="I367" s="12" t="n">
        <v>-11.57</v>
      </c>
      <c r="J367" s="12" t="n">
        <f aca="false">G367+H367+I367</f>
        <v>11.77</v>
      </c>
      <c r="K367" s="13" t="n">
        <f aca="false">IF(F367&gt;0,J367/F367,"")</f>
        <v>0.01177</v>
      </c>
      <c r="L367" s="11" t="s">
        <v>22</v>
      </c>
    </row>
    <row r="368" customFormat="false" ht="15" hidden="false" customHeight="false" outlineLevel="0" collapsed="false">
      <c r="A368" s="10" t="n">
        <v>46166.5953587963</v>
      </c>
      <c r="B368" s="11" t="s">
        <v>212</v>
      </c>
      <c r="C368" s="11" t="s">
        <v>20</v>
      </c>
      <c r="D368" s="11" t="s">
        <v>21</v>
      </c>
      <c r="E368" s="0" t="n">
        <v>0</v>
      </c>
      <c r="F368" s="12" t="n">
        <v>1000</v>
      </c>
      <c r="G368" s="12" t="n">
        <v>101.79</v>
      </c>
      <c r="H368" s="12" t="n">
        <v>-0.95</v>
      </c>
      <c r="I368" s="12" t="n">
        <v>-27.65</v>
      </c>
      <c r="J368" s="12" t="n">
        <f aca="false">G368+H368+I368</f>
        <v>73.19</v>
      </c>
      <c r="K368" s="13" t="n">
        <f aca="false">IF(F368&gt;0,J368/F368,"")</f>
        <v>0.07319</v>
      </c>
      <c r="L368" s="11" t="s">
        <v>22</v>
      </c>
    </row>
    <row r="369" customFormat="false" ht="15" hidden="false" customHeight="false" outlineLevel="0" collapsed="false">
      <c r="A369" s="10" t="n">
        <v>46168.2814236111</v>
      </c>
      <c r="B369" s="11" t="s">
        <v>244</v>
      </c>
      <c r="C369" s="11" t="s">
        <v>20</v>
      </c>
      <c r="D369" s="11" t="s">
        <v>21</v>
      </c>
      <c r="E369" s="0" t="n">
        <v>0</v>
      </c>
      <c r="F369" s="12" t="n">
        <v>1000</v>
      </c>
      <c r="G369" s="12" t="n">
        <v>189.82</v>
      </c>
      <c r="H369" s="12" t="n">
        <v>-0.91</v>
      </c>
      <c r="I369" s="12" t="n">
        <v>0.07</v>
      </c>
      <c r="J369" s="12" t="n">
        <f aca="false">G369+H369+I369</f>
        <v>188.98</v>
      </c>
      <c r="K369" s="13" t="n">
        <f aca="false">IF(F369&gt;0,J369/F369,"")</f>
        <v>0.18898</v>
      </c>
      <c r="L369" s="11" t="s">
        <v>22</v>
      </c>
    </row>
    <row r="370" customFormat="false" ht="15" hidden="false" customHeight="false" outlineLevel="0" collapsed="false">
      <c r="A370" s="10" t="n">
        <v>46168.2896296296</v>
      </c>
      <c r="B370" s="11" t="s">
        <v>245</v>
      </c>
      <c r="C370" s="11" t="s">
        <v>20</v>
      </c>
      <c r="D370" s="11" t="s">
        <v>141</v>
      </c>
      <c r="E370" s="0" t="n">
        <v>1140</v>
      </c>
      <c r="F370" s="12" t="n">
        <v>47986.57</v>
      </c>
      <c r="G370" s="12" t="n">
        <v>92.89</v>
      </c>
      <c r="H370" s="12" t="n">
        <v>-19.73</v>
      </c>
      <c r="I370" s="12" t="n">
        <v>-0.67</v>
      </c>
      <c r="J370" s="12" t="n">
        <f aca="false">G370+H370+I370</f>
        <v>72.49</v>
      </c>
      <c r="K370" s="13" t="n">
        <f aca="false">IF(F370&gt;0,J370/F370,"")</f>
        <v>0.00151063099529723</v>
      </c>
      <c r="L370" s="11" t="s">
        <v>246</v>
      </c>
    </row>
    <row r="371" customFormat="false" ht="15" hidden="false" customHeight="false" outlineLevel="0" collapsed="false">
      <c r="A371" s="10" t="n">
        <v>46168.3639467593</v>
      </c>
      <c r="B371" s="11" t="s">
        <v>206</v>
      </c>
      <c r="C371" s="11" t="s">
        <v>20</v>
      </c>
      <c r="D371" s="11" t="s">
        <v>21</v>
      </c>
      <c r="E371" s="0" t="n">
        <v>1</v>
      </c>
      <c r="F371" s="12" t="n">
        <v>2000</v>
      </c>
      <c r="G371" s="12" t="n">
        <v>104.55</v>
      </c>
      <c r="H371" s="12" t="n">
        <v>-1.95</v>
      </c>
      <c r="I371" s="12" t="n">
        <v>5.16</v>
      </c>
      <c r="J371" s="12" t="n">
        <f aca="false">G371+H371+I371</f>
        <v>107.76</v>
      </c>
      <c r="K371" s="13" t="n">
        <f aca="false">IF(F371&gt;0,J371/F371,"")</f>
        <v>0.05388</v>
      </c>
      <c r="L371" s="11" t="s">
        <v>29</v>
      </c>
    </row>
    <row r="372" customFormat="false" ht="15" hidden="false" customHeight="false" outlineLevel="0" collapsed="false">
      <c r="A372" s="10" t="n">
        <v>46168.4053125</v>
      </c>
      <c r="B372" s="11" t="s">
        <v>247</v>
      </c>
      <c r="C372" s="11" t="s">
        <v>20</v>
      </c>
      <c r="D372" s="11" t="s">
        <v>21</v>
      </c>
      <c r="E372" s="0" t="n">
        <v>0</v>
      </c>
      <c r="F372" s="12" t="n">
        <v>1000</v>
      </c>
      <c r="G372" s="12" t="n">
        <v>72.4</v>
      </c>
      <c r="H372" s="12" t="n">
        <v>-0.96</v>
      </c>
      <c r="I372" s="12" t="n">
        <v>1.94</v>
      </c>
      <c r="J372" s="12" t="n">
        <f aca="false">G372+H372+I372</f>
        <v>73.38</v>
      </c>
      <c r="K372" s="13" t="n">
        <f aca="false">IF(F372&gt;0,J372/F372,"")</f>
        <v>0.07338</v>
      </c>
      <c r="L372" s="11" t="s">
        <v>22</v>
      </c>
    </row>
    <row r="373" customFormat="false" ht="15" hidden="false" customHeight="false" outlineLevel="0" collapsed="false">
      <c r="A373" s="10" t="n">
        <v>46169.4671643519</v>
      </c>
      <c r="B373" s="11" t="s">
        <v>46</v>
      </c>
      <c r="C373" s="11" t="s">
        <v>20</v>
      </c>
      <c r="D373" s="11" t="s">
        <v>21</v>
      </c>
      <c r="E373" s="0" t="n">
        <v>0</v>
      </c>
      <c r="F373" s="12" t="n">
        <v>999.96</v>
      </c>
      <c r="G373" s="12" t="n">
        <v>116.72</v>
      </c>
      <c r="H373" s="12" t="n">
        <v>-0.94</v>
      </c>
      <c r="I373" s="12" t="n">
        <v>-0.69</v>
      </c>
      <c r="J373" s="12" t="n">
        <f aca="false">G373+H373+I373</f>
        <v>115.09</v>
      </c>
      <c r="K373" s="13" t="n">
        <f aca="false">IF(F373&gt;0,J373/F373,"")</f>
        <v>0.115094603784151</v>
      </c>
      <c r="L373" s="11" t="s">
        <v>22</v>
      </c>
    </row>
    <row r="374" customFormat="false" ht="15" hidden="false" customHeight="false" outlineLevel="0" collapsed="false">
      <c r="A374" s="10" t="n">
        <v>46169.8100578704</v>
      </c>
      <c r="B374" s="11" t="s">
        <v>248</v>
      </c>
      <c r="C374" s="11" t="s">
        <v>20</v>
      </c>
      <c r="D374" s="11" t="s">
        <v>21</v>
      </c>
      <c r="E374" s="0" t="n">
        <v>0</v>
      </c>
      <c r="F374" s="12" t="n">
        <v>999.97</v>
      </c>
      <c r="G374" s="12" t="n">
        <v>95.5</v>
      </c>
      <c r="H374" s="12" t="n">
        <v>-0.95</v>
      </c>
      <c r="I374" s="12" t="n">
        <v>0.35</v>
      </c>
      <c r="J374" s="12" t="n">
        <f aca="false">G374+H374+I374</f>
        <v>94.9</v>
      </c>
      <c r="K374" s="13" t="n">
        <f aca="false">IF(F374&gt;0,J374/F374,"")</f>
        <v>0.0949028470854126</v>
      </c>
      <c r="L374" s="11" t="s">
        <v>22</v>
      </c>
    </row>
    <row r="375" customFormat="false" ht="15" hidden="false" customHeight="false" outlineLevel="0" collapsed="false">
      <c r="A375" s="10" t="n">
        <v>46169.9141550926</v>
      </c>
      <c r="B375" s="11" t="s">
        <v>174</v>
      </c>
      <c r="C375" s="11" t="s">
        <v>169</v>
      </c>
      <c r="D375" s="11" t="s">
        <v>21</v>
      </c>
      <c r="E375" s="0" t="n">
        <v>0</v>
      </c>
      <c r="F375" s="12" t="n">
        <v>249.98</v>
      </c>
      <c r="G375" s="12" t="n">
        <v>-45.63</v>
      </c>
      <c r="H375" s="12" t="n">
        <v>-5.23</v>
      </c>
      <c r="I375" s="12" t="n">
        <v>-1.8</v>
      </c>
      <c r="J375" s="12" t="n">
        <f aca="false">G375+H375+I375</f>
        <v>-52.66</v>
      </c>
      <c r="K375" s="13" t="n">
        <f aca="false">IF(F375&gt;0,J375/F375,"")</f>
        <v>-0.210656852548204</v>
      </c>
      <c r="L375" s="11" t="s">
        <v>153</v>
      </c>
    </row>
    <row r="376" customFormat="false" ht="15" hidden="false" customHeight="false" outlineLevel="0" collapsed="false">
      <c r="A376" s="10" t="n">
        <v>46170.1377083333</v>
      </c>
      <c r="B376" s="11" t="s">
        <v>249</v>
      </c>
      <c r="C376" s="11" t="s">
        <v>20</v>
      </c>
      <c r="D376" s="11" t="s">
        <v>21</v>
      </c>
      <c r="E376" s="0" t="n">
        <v>0</v>
      </c>
      <c r="F376" s="12" t="n">
        <v>999.81</v>
      </c>
      <c r="G376" s="12" t="n">
        <v>129.69</v>
      </c>
      <c r="H376" s="12" t="n">
        <v>-0.93</v>
      </c>
      <c r="I376" s="12" t="n">
        <v>0.17</v>
      </c>
      <c r="J376" s="12" t="n">
        <f aca="false">G376+H376+I376</f>
        <v>128.93</v>
      </c>
      <c r="K376" s="13" t="n">
        <f aca="false">IF(F376&gt;0,J376/F376,"")</f>
        <v>0.128954501355258</v>
      </c>
      <c r="L376" s="11" t="s">
        <v>22</v>
      </c>
    </row>
    <row r="377" customFormat="false" ht="15" hidden="false" customHeight="false" outlineLevel="0" collapsed="false">
      <c r="A377" s="10" t="n">
        <v>46170.269537037</v>
      </c>
      <c r="B377" s="11" t="s">
        <v>31</v>
      </c>
      <c r="C377" s="11" t="s">
        <v>20</v>
      </c>
      <c r="D377" s="11" t="s">
        <v>21</v>
      </c>
      <c r="E377" s="0" t="n">
        <v>4</v>
      </c>
      <c r="F377" s="12" t="n">
        <v>4999.82</v>
      </c>
      <c r="G377" s="12" t="n">
        <v>55.86</v>
      </c>
      <c r="H377" s="12" t="n">
        <v>-4.07</v>
      </c>
      <c r="I377" s="12" t="n">
        <v>-48.45</v>
      </c>
      <c r="J377" s="12" t="n">
        <f aca="false">G377+H377+I377</f>
        <v>3.34</v>
      </c>
      <c r="K377" s="13" t="n">
        <f aca="false">IF(F377&gt;0,J377/F377,"")</f>
        <v>0.000668024048865759</v>
      </c>
      <c r="L377" s="11" t="s">
        <v>250</v>
      </c>
    </row>
    <row r="378" customFormat="false" ht="15" hidden="false" customHeight="false" outlineLevel="0" collapsed="false">
      <c r="A378" s="10" t="n">
        <v>46170.5698148148</v>
      </c>
      <c r="B378" s="11" t="s">
        <v>251</v>
      </c>
      <c r="C378" s="11" t="s">
        <v>20</v>
      </c>
      <c r="D378" s="11" t="s">
        <v>21</v>
      </c>
      <c r="E378" s="0" t="n">
        <v>0</v>
      </c>
      <c r="F378" s="12" t="n">
        <v>999.88</v>
      </c>
      <c r="G378" s="12" t="n">
        <v>101.06</v>
      </c>
      <c r="H378" s="12" t="n">
        <v>-0.95</v>
      </c>
      <c r="I378" s="12" t="n">
        <v>2.21</v>
      </c>
      <c r="J378" s="12" t="n">
        <f aca="false">G378+H378+I378</f>
        <v>102.32</v>
      </c>
      <c r="K378" s="13" t="n">
        <f aca="false">IF(F378&gt;0,J378/F378,"")</f>
        <v>0.102332279873585</v>
      </c>
      <c r="L378" s="11" t="s">
        <v>22</v>
      </c>
    </row>
    <row r="379" customFormat="false" ht="15" hidden="false" customHeight="false" outlineLevel="0" collapsed="false">
      <c r="A379" s="10" t="n">
        <v>46171.5025810185</v>
      </c>
      <c r="B379" s="11" t="s">
        <v>42</v>
      </c>
      <c r="C379" s="11" t="s">
        <v>20</v>
      </c>
      <c r="D379" s="11" t="s">
        <v>21</v>
      </c>
      <c r="E379" s="0" t="n">
        <v>0</v>
      </c>
      <c r="F379" s="12" t="n">
        <v>999.7</v>
      </c>
      <c r="G379" s="12" t="n">
        <v>114.32</v>
      </c>
      <c r="H379" s="12" t="n">
        <v>-0.94</v>
      </c>
      <c r="I379" s="12" t="n">
        <v>1.61</v>
      </c>
      <c r="J379" s="12" t="n">
        <f aca="false">G379+H379+I379</f>
        <v>114.99</v>
      </c>
      <c r="K379" s="13" t="n">
        <f aca="false">IF(F379&gt;0,J379/F379,"")</f>
        <v>0.115024507352206</v>
      </c>
      <c r="L379" s="11" t="s">
        <v>22</v>
      </c>
    </row>
    <row r="380" customFormat="false" ht="15" hidden="false" customHeight="false" outlineLevel="0" collapsed="false">
      <c r="A380" s="10" t="n">
        <v>46173.9838194445</v>
      </c>
      <c r="B380" s="11" t="s">
        <v>38</v>
      </c>
      <c r="C380" s="11" t="s">
        <v>20</v>
      </c>
      <c r="D380" s="11" t="s">
        <v>21</v>
      </c>
      <c r="E380" s="0" t="n">
        <v>0</v>
      </c>
      <c r="F380" s="12" t="n">
        <v>1000</v>
      </c>
      <c r="G380" s="12" t="n">
        <v>-970.29</v>
      </c>
      <c r="H380" s="12" t="n">
        <v>-39.91</v>
      </c>
      <c r="I380" s="12" t="n">
        <v>0.05</v>
      </c>
      <c r="J380" s="12" t="n">
        <f aca="false">G380+H380+I380</f>
        <v>-1010.15</v>
      </c>
      <c r="K380" s="13" t="n">
        <f aca="false">IF(F380&gt;0,J380/F380,"")</f>
        <v>-1.01015</v>
      </c>
      <c r="L380" s="11" t="s">
        <v>153</v>
      </c>
    </row>
    <row r="381" customFormat="false" ht="15" hidden="false" customHeight="false" outlineLevel="0" collapsed="false">
      <c r="A381" s="10" t="n">
        <v>46174.2857407407</v>
      </c>
      <c r="B381" s="11" t="s">
        <v>252</v>
      </c>
      <c r="C381" s="11" t="s">
        <v>20</v>
      </c>
      <c r="D381" s="11" t="s">
        <v>21</v>
      </c>
      <c r="E381" s="0" t="n">
        <v>0</v>
      </c>
      <c r="F381" s="12" t="n">
        <v>499.76</v>
      </c>
      <c r="G381" s="12" t="n">
        <v>141.26</v>
      </c>
      <c r="H381" s="12" t="n">
        <v>-0.43</v>
      </c>
      <c r="I381" s="12" t="n">
        <v>-0.15</v>
      </c>
      <c r="J381" s="12" t="n">
        <f aca="false">G381+H381+I381</f>
        <v>140.68</v>
      </c>
      <c r="K381" s="13" t="n">
        <f aca="false">IF(F381&gt;0,J381/F381,"")</f>
        <v>0.281495117656475</v>
      </c>
      <c r="L381" s="11" t="s">
        <v>22</v>
      </c>
    </row>
    <row r="382" customFormat="false" ht="15" hidden="false" customHeight="false" outlineLevel="0" collapsed="false">
      <c r="A382" s="10" t="n">
        <v>46174.6675115741</v>
      </c>
      <c r="B382" s="11" t="s">
        <v>38</v>
      </c>
      <c r="C382" s="11" t="s">
        <v>20</v>
      </c>
      <c r="D382" s="11" t="s">
        <v>21</v>
      </c>
      <c r="E382" s="0" t="n">
        <v>1</v>
      </c>
      <c r="F382" s="12" t="n">
        <v>999.99</v>
      </c>
      <c r="G382" s="12" t="n">
        <v>503.18</v>
      </c>
      <c r="H382" s="12" t="n">
        <v>-0.75</v>
      </c>
      <c r="I382" s="12" t="n">
        <v>-0.96</v>
      </c>
      <c r="J382" s="12" t="n">
        <f aca="false">G382+H382+I382</f>
        <v>501.47</v>
      </c>
      <c r="K382" s="13" t="n">
        <f aca="false">IF(F382&gt;0,J382/F382,"")</f>
        <v>0.501475014750148</v>
      </c>
      <c r="L382" s="11" t="s">
        <v>29</v>
      </c>
    </row>
    <row r="383" customFormat="false" ht="15" hidden="false" customHeight="false" outlineLevel="0" collapsed="false">
      <c r="A383" s="10" t="n">
        <v>46176.3442013889</v>
      </c>
      <c r="B383" s="11" t="s">
        <v>86</v>
      </c>
      <c r="C383" s="11" t="s">
        <v>20</v>
      </c>
      <c r="D383" s="11" t="s">
        <v>21</v>
      </c>
      <c r="E383" s="0" t="n">
        <v>0</v>
      </c>
      <c r="F383" s="12" t="n">
        <v>499.96</v>
      </c>
      <c r="G383" s="12" t="n">
        <v>76.32</v>
      </c>
      <c r="H383" s="12" t="n">
        <v>-0.46</v>
      </c>
      <c r="I383" s="12" t="n">
        <v>0.02</v>
      </c>
      <c r="J383" s="12" t="n">
        <f aca="false">G383+H383+I383</f>
        <v>75.88</v>
      </c>
      <c r="K383" s="13" t="n">
        <f aca="false">IF(F383&gt;0,J383/F383,"")</f>
        <v>0.151772141771342</v>
      </c>
      <c r="L383" s="11" t="s">
        <v>22</v>
      </c>
    </row>
    <row r="384" customFormat="false" ht="15" hidden="false" customHeight="false" outlineLevel="0" collapsed="false">
      <c r="A384" s="10" t="n">
        <v>46176.3462152778</v>
      </c>
      <c r="B384" s="11" t="s">
        <v>200</v>
      </c>
      <c r="C384" s="11" t="s">
        <v>20</v>
      </c>
      <c r="D384" s="11" t="s">
        <v>21</v>
      </c>
      <c r="E384" s="0" t="n">
        <v>0</v>
      </c>
      <c r="F384" s="12" t="n">
        <v>999.92</v>
      </c>
      <c r="G384" s="12" t="n">
        <v>123.74</v>
      </c>
      <c r="H384" s="12" t="n">
        <v>-0.94</v>
      </c>
      <c r="I384" s="12" t="n">
        <v>-1.17</v>
      </c>
      <c r="J384" s="12" t="n">
        <f aca="false">G384+H384+I384</f>
        <v>121.63</v>
      </c>
      <c r="K384" s="13" t="n">
        <f aca="false">IF(F384&gt;0,J384/F384,"")</f>
        <v>0.121639731178494</v>
      </c>
      <c r="L384" s="11" t="s">
        <v>22</v>
      </c>
    </row>
    <row r="385" customFormat="false" ht="15" hidden="false" customHeight="false" outlineLevel="0" collapsed="false">
      <c r="A385" s="10" t="n">
        <v>46176.5770138889</v>
      </c>
      <c r="B385" s="11" t="s">
        <v>253</v>
      </c>
      <c r="C385" s="11" t="s">
        <v>20</v>
      </c>
      <c r="D385" s="11" t="s">
        <v>21</v>
      </c>
      <c r="E385" s="0" t="n">
        <v>0</v>
      </c>
      <c r="F385" s="12" t="n">
        <v>1000</v>
      </c>
      <c r="G385" s="12" t="n">
        <v>126.5</v>
      </c>
      <c r="H385" s="12" t="n">
        <v>-0.94</v>
      </c>
      <c r="I385" s="12" t="n">
        <v>0.05</v>
      </c>
      <c r="J385" s="12" t="n">
        <f aca="false">G385+H385+I385</f>
        <v>125.61</v>
      </c>
      <c r="K385" s="13" t="n">
        <f aca="false">IF(F385&gt;0,J385/F385,"")</f>
        <v>0.12561</v>
      </c>
      <c r="L385" s="11" t="s">
        <v>22</v>
      </c>
    </row>
    <row r="386" customFormat="false" ht="15" hidden="false" customHeight="false" outlineLevel="0" collapsed="false">
      <c r="A386" s="10" t="n">
        <v>46177.084849537</v>
      </c>
      <c r="B386" s="11" t="s">
        <v>254</v>
      </c>
      <c r="C386" s="11" t="s">
        <v>20</v>
      </c>
      <c r="D386" s="11" t="s">
        <v>21</v>
      </c>
      <c r="E386" s="0" t="n">
        <v>0</v>
      </c>
      <c r="F386" s="12" t="n">
        <v>999.85</v>
      </c>
      <c r="G386" s="12" t="n">
        <v>102.44</v>
      </c>
      <c r="H386" s="12" t="n">
        <v>-0.95</v>
      </c>
      <c r="I386" s="12" t="n">
        <v>0.2</v>
      </c>
      <c r="J386" s="12" t="n">
        <f aca="false">G386+H386+I386</f>
        <v>101.69</v>
      </c>
      <c r="K386" s="13" t="n">
        <f aca="false">IF(F386&gt;0,J386/F386,"")</f>
        <v>0.101705255788368</v>
      </c>
      <c r="L386" s="11" t="s">
        <v>22</v>
      </c>
    </row>
    <row r="387" customFormat="false" ht="15" hidden="false" customHeight="false" outlineLevel="0" collapsed="false">
      <c r="A387" s="10" t="n">
        <v>46177.3637037037</v>
      </c>
      <c r="B387" s="11" t="s">
        <v>234</v>
      </c>
      <c r="C387" s="11" t="s">
        <v>20</v>
      </c>
      <c r="D387" s="11" t="s">
        <v>21</v>
      </c>
      <c r="E387" s="0" t="n">
        <v>0</v>
      </c>
      <c r="F387" s="12" t="n">
        <v>997.86</v>
      </c>
      <c r="G387" s="12" t="n">
        <v>200.68</v>
      </c>
      <c r="H387" s="12" t="n">
        <v>-0.9</v>
      </c>
      <c r="I387" s="12" t="n">
        <v>0.05</v>
      </c>
      <c r="J387" s="12" t="n">
        <f aca="false">G387+H387+I387</f>
        <v>199.83</v>
      </c>
      <c r="K387" s="13" t="n">
        <f aca="false">IF(F387&gt;0,J387/F387,"")</f>
        <v>0.200258553304071</v>
      </c>
      <c r="L387" s="11" t="s">
        <v>22</v>
      </c>
    </row>
    <row r="388" customFormat="false" ht="15" hidden="false" customHeight="false" outlineLevel="0" collapsed="false">
      <c r="A388" s="10" t="n">
        <v>46177.8882638889</v>
      </c>
      <c r="B388" s="11" t="s">
        <v>251</v>
      </c>
      <c r="C388" s="11" t="s">
        <v>20</v>
      </c>
      <c r="D388" s="11" t="s">
        <v>21</v>
      </c>
      <c r="E388" s="0" t="n">
        <v>0</v>
      </c>
      <c r="F388" s="12" t="n">
        <v>999.95</v>
      </c>
      <c r="G388" s="12" t="n">
        <v>134.81</v>
      </c>
      <c r="H388" s="12" t="n">
        <v>-0.93</v>
      </c>
      <c r="I388" s="12" t="n">
        <v>0.25</v>
      </c>
      <c r="J388" s="12" t="n">
        <f aca="false">G388+H388+I388</f>
        <v>134.13</v>
      </c>
      <c r="K388" s="13" t="n">
        <f aca="false">IF(F388&gt;0,J388/F388,"")</f>
        <v>0.134136706835342</v>
      </c>
      <c r="L388" s="11" t="s">
        <v>22</v>
      </c>
    </row>
    <row r="389" customFormat="false" ht="15" hidden="false" customHeight="false" outlineLevel="0" collapsed="false">
      <c r="A389" s="10" t="n">
        <v>46178.4095138889</v>
      </c>
      <c r="B389" s="11" t="s">
        <v>34</v>
      </c>
      <c r="C389" s="11" t="s">
        <v>20</v>
      </c>
      <c r="D389" s="11" t="s">
        <v>141</v>
      </c>
      <c r="E389" s="0" t="n">
        <v>835</v>
      </c>
      <c r="F389" s="12" t="n">
        <v>28756.82</v>
      </c>
      <c r="G389" s="12" t="n">
        <v>15.61</v>
      </c>
      <c r="H389" s="12" t="n">
        <v>-11.7</v>
      </c>
      <c r="I389" s="12" t="n">
        <v>-23.61</v>
      </c>
      <c r="J389" s="12" t="n">
        <f aca="false">G389+H389+I389</f>
        <v>-19.7</v>
      </c>
      <c r="K389" s="13" t="n">
        <f aca="false">IF(F389&gt;0,J389/F389,"")</f>
        <v>-0.000685054884371777</v>
      </c>
      <c r="L389" s="11" t="s">
        <v>25</v>
      </c>
    </row>
    <row r="390" customFormat="false" ht="15" hidden="false" customHeight="false" outlineLevel="0" collapsed="false">
      <c r="A390" s="10" t="n">
        <v>46178.6972337963</v>
      </c>
      <c r="B390" s="11" t="s">
        <v>255</v>
      </c>
      <c r="C390" s="11" t="s">
        <v>20</v>
      </c>
      <c r="D390" s="11" t="s">
        <v>21</v>
      </c>
      <c r="E390" s="0" t="n">
        <v>0</v>
      </c>
      <c r="F390" s="12" t="n">
        <v>999.86</v>
      </c>
      <c r="G390" s="12" t="n">
        <v>133.28</v>
      </c>
      <c r="H390" s="12" t="n">
        <v>-0.93</v>
      </c>
      <c r="I390" s="12" t="n">
        <v>1.91</v>
      </c>
      <c r="J390" s="12" t="n">
        <f aca="false">G390+H390+I390</f>
        <v>134.26</v>
      </c>
      <c r="K390" s="13" t="n">
        <f aca="false">IF(F390&gt;0,J390/F390,"")</f>
        <v>0.134278799031864</v>
      </c>
      <c r="L390" s="11" t="s">
        <v>22</v>
      </c>
    </row>
    <row r="391" customFormat="false" ht="15" hidden="false" customHeight="false" outlineLevel="0" collapsed="false">
      <c r="A391" s="10" t="n">
        <v>46178.9250578704</v>
      </c>
      <c r="B391" s="11" t="s">
        <v>227</v>
      </c>
      <c r="C391" s="11" t="s">
        <v>20</v>
      </c>
      <c r="D391" s="11" t="s">
        <v>21</v>
      </c>
      <c r="E391" s="0" t="n">
        <v>0</v>
      </c>
      <c r="F391" s="12" t="n">
        <v>999.98</v>
      </c>
      <c r="G391" s="12" t="n">
        <v>151.16</v>
      </c>
      <c r="H391" s="12" t="n">
        <v>-0.92</v>
      </c>
      <c r="I391" s="12" t="n">
        <v>1</v>
      </c>
      <c r="J391" s="12" t="n">
        <f aca="false">G391+H391+I391</f>
        <v>151.24</v>
      </c>
      <c r="K391" s="13" t="n">
        <f aca="false">IF(F391&gt;0,J391/F391,"")</f>
        <v>0.151243024860497</v>
      </c>
      <c r="L391" s="11" t="s">
        <v>22</v>
      </c>
    </row>
    <row r="392" customFormat="false" ht="15" hidden="false" customHeight="false" outlineLevel="0" collapsed="false">
      <c r="A392" s="10" t="n">
        <v>46179.4229166667</v>
      </c>
      <c r="B392" s="11" t="s">
        <v>75</v>
      </c>
      <c r="C392" s="11" t="s">
        <v>20</v>
      </c>
      <c r="D392" s="11" t="s">
        <v>21</v>
      </c>
      <c r="E392" s="0" t="n">
        <v>0</v>
      </c>
      <c r="F392" s="12" t="n">
        <v>1000</v>
      </c>
      <c r="G392" s="12" t="n">
        <v>169.47</v>
      </c>
      <c r="H392" s="12" t="n">
        <v>-0.92</v>
      </c>
      <c r="I392" s="12" t="n">
        <v>-79.73</v>
      </c>
      <c r="J392" s="12" t="n">
        <f aca="false">G392+H392+I392</f>
        <v>88.82</v>
      </c>
      <c r="K392" s="13" t="n">
        <f aca="false">IF(F392&gt;0,J392/F392,"")</f>
        <v>0.08882</v>
      </c>
      <c r="L392" s="11" t="s">
        <v>22</v>
      </c>
    </row>
    <row r="393" customFormat="false" ht="15" hidden="false" customHeight="false" outlineLevel="0" collapsed="false">
      <c r="A393" s="10" t="n">
        <v>46179.5114930556</v>
      </c>
      <c r="B393" s="11" t="s">
        <v>255</v>
      </c>
      <c r="C393" s="11" t="s">
        <v>20</v>
      </c>
      <c r="D393" s="11" t="s">
        <v>21</v>
      </c>
      <c r="E393" s="0" t="n">
        <v>0</v>
      </c>
      <c r="F393" s="12" t="n">
        <v>2999.94</v>
      </c>
      <c r="G393" s="12" t="n">
        <v>562.89</v>
      </c>
      <c r="H393" s="12" t="n">
        <v>-2.72</v>
      </c>
      <c r="I393" s="12" t="n">
        <v>0.77</v>
      </c>
      <c r="J393" s="12" t="n">
        <f aca="false">G393+H393+I393</f>
        <v>560.94</v>
      </c>
      <c r="K393" s="13" t="n">
        <f aca="false">IF(F393&gt;0,J393/F393,"")</f>
        <v>0.186983739674793</v>
      </c>
      <c r="L393" s="11" t="s">
        <v>22</v>
      </c>
    </row>
    <row r="394" customFormat="false" ht="15" hidden="false" customHeight="false" outlineLevel="0" collapsed="false">
      <c r="A394" s="10" t="n">
        <v>46182.4665509259</v>
      </c>
      <c r="B394" s="11" t="s">
        <v>129</v>
      </c>
      <c r="C394" s="11" t="s">
        <v>20</v>
      </c>
      <c r="D394" s="11" t="s">
        <v>21</v>
      </c>
      <c r="E394" s="0" t="n">
        <v>0</v>
      </c>
      <c r="F394" s="12" t="n">
        <v>1000</v>
      </c>
      <c r="G394" s="12" t="n">
        <v>-109.66</v>
      </c>
      <c r="H394" s="12" t="n">
        <v>-1.05</v>
      </c>
      <c r="I394" s="12" t="n">
        <v>3.68</v>
      </c>
      <c r="J394" s="12" t="n">
        <f aca="false">G394+H394+I394</f>
        <v>-107.03</v>
      </c>
      <c r="K394" s="13" t="n">
        <f aca="false">IF(F394&gt;0,J394/F394,"")</f>
        <v>-0.10703</v>
      </c>
      <c r="L394" s="11" t="s">
        <v>25</v>
      </c>
    </row>
    <row r="395" customFormat="false" ht="15" hidden="false" customHeight="false" outlineLevel="0" collapsed="false">
      <c r="A395" s="10" t="n">
        <v>46183.8082523148</v>
      </c>
      <c r="B395" s="11" t="s">
        <v>256</v>
      </c>
      <c r="C395" s="11" t="s">
        <v>20</v>
      </c>
      <c r="D395" s="11" t="s">
        <v>21</v>
      </c>
      <c r="E395" s="0" t="n">
        <v>3</v>
      </c>
      <c r="F395" s="12" t="n">
        <v>4058.99</v>
      </c>
      <c r="G395" s="12" t="n">
        <v>-6470.62</v>
      </c>
      <c r="H395" s="12" t="n">
        <v>-264.35</v>
      </c>
      <c r="I395" s="12" t="n">
        <v>84.18</v>
      </c>
      <c r="J395" s="12" t="n">
        <f aca="false">G395+H395+I395</f>
        <v>-6650.79</v>
      </c>
      <c r="K395" s="13" t="n">
        <f aca="false">IF(F395&gt;0,J395/F395,"")</f>
        <v>-1.63853323117327</v>
      </c>
      <c r="L395" s="11" t="s">
        <v>153</v>
      </c>
    </row>
    <row r="396" customFormat="false" ht="15" hidden="false" customHeight="false" outlineLevel="0" collapsed="false">
      <c r="A396" s="10" t="n">
        <v>46184.6820023148</v>
      </c>
      <c r="B396" s="11" t="s">
        <v>85</v>
      </c>
      <c r="C396" s="11" t="s">
        <v>20</v>
      </c>
      <c r="D396" s="11" t="s">
        <v>21</v>
      </c>
      <c r="E396" s="0" t="n">
        <v>0</v>
      </c>
      <c r="F396" s="12" t="n">
        <v>500</v>
      </c>
      <c r="G396" s="12" t="n">
        <v>71.56</v>
      </c>
      <c r="H396" s="12" t="n">
        <v>-0.46</v>
      </c>
      <c r="I396" s="12" t="n">
        <v>-3.19</v>
      </c>
      <c r="J396" s="12" t="n">
        <f aca="false">G396+H396+I396</f>
        <v>67.91</v>
      </c>
      <c r="K396" s="13" t="n">
        <f aca="false">IF(F396&gt;0,J396/F396,"")</f>
        <v>0.13582</v>
      </c>
      <c r="L396" s="11" t="s">
        <v>22</v>
      </c>
    </row>
    <row r="397" customFormat="false" ht="15" hidden="false" customHeight="false" outlineLevel="0" collapsed="false">
      <c r="A397" s="10" t="n">
        <v>46185.4701157407</v>
      </c>
      <c r="B397" s="11" t="s">
        <v>189</v>
      </c>
      <c r="C397" s="11" t="s">
        <v>20</v>
      </c>
      <c r="D397" s="11" t="s">
        <v>21</v>
      </c>
      <c r="E397" s="0" t="n">
        <v>0</v>
      </c>
      <c r="F397" s="12" t="n">
        <v>1000</v>
      </c>
      <c r="G397" s="12" t="n">
        <v>250.29</v>
      </c>
      <c r="H397" s="12" t="n">
        <v>-0.57</v>
      </c>
      <c r="I397" s="12" t="n">
        <v>0</v>
      </c>
      <c r="J397" s="12" t="n">
        <f aca="false">G397+H397+I397</f>
        <v>249.72</v>
      </c>
      <c r="K397" s="13" t="n">
        <f aca="false">IF(F397&gt;0,J397/F397,"")</f>
        <v>0.24972</v>
      </c>
      <c r="L397" s="11" t="s">
        <v>22</v>
      </c>
    </row>
    <row r="398" customFormat="false" ht="15" hidden="false" customHeight="false" outlineLevel="0" collapsed="false">
      <c r="A398" s="10" t="n">
        <v>46186.9380671296</v>
      </c>
      <c r="B398" s="11" t="s">
        <v>257</v>
      </c>
      <c r="C398" s="11" t="s">
        <v>20</v>
      </c>
      <c r="D398" s="11" t="s">
        <v>21</v>
      </c>
      <c r="E398" s="0" t="n">
        <v>0</v>
      </c>
      <c r="F398" s="12" t="n">
        <v>999.72</v>
      </c>
      <c r="G398" s="12" t="n">
        <v>254.33</v>
      </c>
      <c r="H398" s="12" t="n">
        <v>-0.87</v>
      </c>
      <c r="I398" s="12" t="n">
        <v>0.82</v>
      </c>
      <c r="J398" s="12" t="n">
        <f aca="false">G398+H398+I398</f>
        <v>254.28</v>
      </c>
      <c r="K398" s="13" t="n">
        <f aca="false">IF(F398&gt;0,J398/F398,"")</f>
        <v>0.254351218341136</v>
      </c>
      <c r="L398" s="11" t="s">
        <v>22</v>
      </c>
    </row>
    <row r="399" customFormat="false" ht="15" hidden="false" customHeight="false" outlineLevel="0" collapsed="false">
      <c r="A399" s="10" t="n">
        <v>46187.6222106482</v>
      </c>
      <c r="B399" s="11" t="s">
        <v>258</v>
      </c>
      <c r="C399" s="11" t="s">
        <v>20</v>
      </c>
      <c r="D399" s="11" t="s">
        <v>21</v>
      </c>
      <c r="E399" s="0" t="n">
        <v>0</v>
      </c>
      <c r="F399" s="12" t="n">
        <v>999.92</v>
      </c>
      <c r="G399" s="12" t="n">
        <v>107.34</v>
      </c>
      <c r="H399" s="12" t="n">
        <v>-0.95</v>
      </c>
      <c r="I399" s="12" t="n">
        <v>-2.12</v>
      </c>
      <c r="J399" s="12" t="n">
        <f aca="false">G399+H399+I399</f>
        <v>104.27</v>
      </c>
      <c r="K399" s="13" t="n">
        <f aca="false">IF(F399&gt;0,J399/F399,"")</f>
        <v>0.104278342267381</v>
      </c>
      <c r="L399" s="11" t="s">
        <v>22</v>
      </c>
    </row>
    <row r="400" customFormat="false" ht="15" hidden="false" customHeight="false" outlineLevel="0" collapsed="false">
      <c r="A400" s="10" t="n">
        <v>46189.228275463</v>
      </c>
      <c r="B400" s="11" t="s">
        <v>77</v>
      </c>
      <c r="C400" s="11" t="s">
        <v>20</v>
      </c>
      <c r="D400" s="11" t="s">
        <v>21</v>
      </c>
      <c r="E400" s="0" t="n">
        <v>0</v>
      </c>
      <c r="F400" s="12" t="n">
        <v>999.97</v>
      </c>
      <c r="G400" s="12" t="n">
        <v>166.1</v>
      </c>
      <c r="H400" s="12" t="n">
        <v>-0.92</v>
      </c>
      <c r="I400" s="12" t="n">
        <v>2.69</v>
      </c>
      <c r="J400" s="12" t="n">
        <f aca="false">G400+H400+I400</f>
        <v>167.87</v>
      </c>
      <c r="K400" s="13" t="n">
        <f aca="false">IF(F400&gt;0,J400/F400,"")</f>
        <v>0.167875036251088</v>
      </c>
      <c r="L400" s="11" t="s">
        <v>22</v>
      </c>
    </row>
    <row r="401" customFormat="false" ht="15" hidden="false" customHeight="false" outlineLevel="0" collapsed="false">
      <c r="A401" s="10" t="n">
        <v>46190.4426041667</v>
      </c>
      <c r="B401" s="11" t="s">
        <v>129</v>
      </c>
      <c r="C401" s="11" t="s">
        <v>20</v>
      </c>
      <c r="D401" s="11" t="s">
        <v>21</v>
      </c>
      <c r="E401" s="0" t="n">
        <v>0</v>
      </c>
      <c r="F401" s="12" t="n">
        <v>999.99</v>
      </c>
      <c r="G401" s="12" t="n">
        <v>154.9</v>
      </c>
      <c r="H401" s="12" t="n">
        <v>-0.92</v>
      </c>
      <c r="I401" s="12" t="n">
        <v>0.29</v>
      </c>
      <c r="J401" s="12" t="n">
        <f aca="false">G401+H401+I401</f>
        <v>154.27</v>
      </c>
      <c r="K401" s="13" t="n">
        <f aca="false">IF(F401&gt;0,J401/F401,"")</f>
        <v>0.154271542715427</v>
      </c>
      <c r="L401" s="11" t="s">
        <v>22</v>
      </c>
    </row>
    <row r="402" customFormat="false" ht="15" hidden="false" customHeight="false" outlineLevel="0" collapsed="false">
      <c r="A402" s="10" t="n">
        <v>46190.8151967593</v>
      </c>
      <c r="B402" s="11" t="s">
        <v>38</v>
      </c>
      <c r="C402" s="11" t="s">
        <v>20</v>
      </c>
      <c r="D402" s="11" t="s">
        <v>21</v>
      </c>
      <c r="E402" s="0" t="n">
        <v>0</v>
      </c>
      <c r="F402" s="12" t="n">
        <v>1000</v>
      </c>
      <c r="G402" s="12" t="n">
        <v>115.13</v>
      </c>
      <c r="H402" s="12" t="n">
        <v>-0.94</v>
      </c>
      <c r="I402" s="12" t="n">
        <v>-13.24</v>
      </c>
      <c r="J402" s="12" t="n">
        <f aca="false">G402+H402+I402</f>
        <v>100.95</v>
      </c>
      <c r="K402" s="13" t="n">
        <f aca="false">IF(F402&gt;0,J402/F402,"")</f>
        <v>0.10095</v>
      </c>
      <c r="L402" s="11" t="s">
        <v>22</v>
      </c>
    </row>
    <row r="403" customFormat="false" ht="15" hidden="false" customHeight="false" outlineLevel="0" collapsed="false">
      <c r="A403" s="10" t="n">
        <v>46190.8221180556</v>
      </c>
      <c r="B403" s="11" t="s">
        <v>259</v>
      </c>
      <c r="C403" s="11" t="s">
        <v>20</v>
      </c>
      <c r="D403" s="11" t="s">
        <v>21</v>
      </c>
      <c r="E403" s="0" t="n">
        <v>0</v>
      </c>
      <c r="F403" s="12" t="n">
        <v>999.96</v>
      </c>
      <c r="G403" s="12" t="n">
        <v>4.89</v>
      </c>
      <c r="H403" s="12" t="n">
        <v>-1</v>
      </c>
      <c r="I403" s="12" t="n">
        <v>0</v>
      </c>
      <c r="J403" s="12" t="n">
        <f aca="false">G403+H403+I403</f>
        <v>3.89</v>
      </c>
      <c r="K403" s="13" t="n">
        <f aca="false">IF(F403&gt;0,J403/F403,"")</f>
        <v>0.00389015560622425</v>
      </c>
      <c r="L403" s="11" t="s">
        <v>22</v>
      </c>
    </row>
    <row r="404" customFormat="false" ht="15" hidden="false" customHeight="false" outlineLevel="0" collapsed="false">
      <c r="A404" s="10" t="n">
        <v>46191.1674652778</v>
      </c>
      <c r="B404" s="11" t="s">
        <v>260</v>
      </c>
      <c r="C404" s="11" t="s">
        <v>20</v>
      </c>
      <c r="D404" s="11" t="s">
        <v>21</v>
      </c>
      <c r="E404" s="0" t="n">
        <v>0</v>
      </c>
      <c r="F404" s="12" t="n">
        <v>999.92</v>
      </c>
      <c r="G404" s="12" t="n">
        <v>106.91</v>
      </c>
      <c r="H404" s="12" t="n">
        <v>-0.95</v>
      </c>
      <c r="I404" s="12" t="n">
        <v>0.24</v>
      </c>
      <c r="J404" s="12" t="n">
        <f aca="false">G404+H404+I404</f>
        <v>106.2</v>
      </c>
      <c r="K404" s="13" t="n">
        <f aca="false">IF(F404&gt;0,J404/F404,"")</f>
        <v>0.106208496679734</v>
      </c>
      <c r="L404" s="11" t="s">
        <v>22</v>
      </c>
    </row>
    <row r="405" customFormat="false" ht="15" hidden="false" customHeight="false" outlineLevel="0" collapsed="false">
      <c r="A405" s="10" t="n">
        <v>46191.4980787037</v>
      </c>
      <c r="B405" s="11" t="s">
        <v>59</v>
      </c>
      <c r="C405" s="11" t="s">
        <v>20</v>
      </c>
      <c r="D405" s="11" t="s">
        <v>21</v>
      </c>
      <c r="E405" s="0" t="n">
        <v>0</v>
      </c>
      <c r="F405" s="12" t="n">
        <v>999.98</v>
      </c>
      <c r="G405" s="12" t="n">
        <v>116.17</v>
      </c>
      <c r="H405" s="12" t="n">
        <v>-0.94</v>
      </c>
      <c r="I405" s="12" t="n">
        <v>0.27</v>
      </c>
      <c r="J405" s="12" t="n">
        <f aca="false">G405+H405+I405</f>
        <v>115.5</v>
      </c>
      <c r="K405" s="13" t="n">
        <f aca="false">IF(F405&gt;0,J405/F405,"")</f>
        <v>0.115502310046201</v>
      </c>
      <c r="L405" s="11" t="s">
        <v>22</v>
      </c>
    </row>
    <row r="406" customFormat="false" ht="15" hidden="false" customHeight="false" outlineLevel="0" collapsed="false">
      <c r="A406" s="10" t="n">
        <v>46192.3980787037</v>
      </c>
      <c r="B406" s="11" t="s">
        <v>35</v>
      </c>
      <c r="C406" s="11" t="s">
        <v>20</v>
      </c>
      <c r="D406" s="11" t="s">
        <v>21</v>
      </c>
      <c r="E406" s="0" t="n">
        <v>0</v>
      </c>
      <c r="F406" s="12" t="n">
        <v>999.99</v>
      </c>
      <c r="G406" s="12" t="n">
        <v>133.12</v>
      </c>
      <c r="H406" s="12" t="n">
        <v>-0.93</v>
      </c>
      <c r="I406" s="12" t="n">
        <v>0.44</v>
      </c>
      <c r="J406" s="12" t="n">
        <f aca="false">G406+H406+I406</f>
        <v>132.63</v>
      </c>
      <c r="K406" s="13" t="n">
        <f aca="false">IF(F406&gt;0,J406/F406,"")</f>
        <v>0.132631326313263</v>
      </c>
      <c r="L406" s="11" t="s">
        <v>22</v>
      </c>
    </row>
    <row r="407" customFormat="false" ht="15" hidden="false" customHeight="false" outlineLevel="0" collapsed="false">
      <c r="A407" s="10" t="n">
        <v>46193.3268518519</v>
      </c>
      <c r="B407" s="11" t="s">
        <v>90</v>
      </c>
      <c r="C407" s="11" t="s">
        <v>20</v>
      </c>
      <c r="D407" s="11" t="s">
        <v>21</v>
      </c>
      <c r="E407" s="0" t="n">
        <v>0</v>
      </c>
      <c r="F407" s="12" t="n">
        <v>999.98</v>
      </c>
      <c r="G407" s="12" t="n">
        <v>151.77</v>
      </c>
      <c r="H407" s="12" t="n">
        <v>-0.92</v>
      </c>
      <c r="I407" s="12" t="n">
        <v>0.65</v>
      </c>
      <c r="J407" s="12" t="n">
        <f aca="false">G407+H407+I407</f>
        <v>151.5</v>
      </c>
      <c r="K407" s="13" t="n">
        <f aca="false">IF(F407&gt;0,J407/F407,"")</f>
        <v>0.151503030060601</v>
      </c>
      <c r="L407" s="11" t="s">
        <v>22</v>
      </c>
    </row>
    <row r="408" customFormat="false" ht="15" hidden="false" customHeight="false" outlineLevel="0" collapsed="false">
      <c r="A408" s="10" t="n">
        <v>46193.7509143519</v>
      </c>
      <c r="B408" s="11" t="s">
        <v>66</v>
      </c>
      <c r="C408" s="11" t="s">
        <v>20</v>
      </c>
      <c r="D408" s="11" t="s">
        <v>21</v>
      </c>
      <c r="E408" s="0" t="n">
        <v>0</v>
      </c>
      <c r="F408" s="12" t="n">
        <v>999.99</v>
      </c>
      <c r="G408" s="12" t="n">
        <v>-973.6</v>
      </c>
      <c r="H408" s="12" t="n">
        <v>-39.97</v>
      </c>
      <c r="I408" s="12" t="n">
        <v>-7.02</v>
      </c>
      <c r="J408" s="12" t="n">
        <f aca="false">G408+H408+I408</f>
        <v>-1020.59</v>
      </c>
      <c r="K408" s="13" t="n">
        <f aca="false">IF(F408&gt;0,J408/F408,"")</f>
        <v>-1.02060020600206</v>
      </c>
      <c r="L408" s="11" t="s">
        <v>153</v>
      </c>
    </row>
    <row r="409" customFormat="false" ht="15" hidden="false" customHeight="false" outlineLevel="0" collapsed="false">
      <c r="A409" s="10" t="n">
        <v>46195.7556134259</v>
      </c>
      <c r="B409" s="11" t="s">
        <v>66</v>
      </c>
      <c r="C409" s="11" t="s">
        <v>20</v>
      </c>
      <c r="D409" s="11" t="s">
        <v>21</v>
      </c>
      <c r="E409" s="0" t="n">
        <v>0</v>
      </c>
      <c r="F409" s="12" t="n">
        <v>999.99</v>
      </c>
      <c r="G409" s="12" t="n">
        <v>377.05</v>
      </c>
      <c r="H409" s="12" t="n">
        <v>-0.81</v>
      </c>
      <c r="I409" s="12" t="n">
        <v>0.57</v>
      </c>
      <c r="J409" s="12" t="n">
        <f aca="false">G409+H409+I409</f>
        <v>376.81</v>
      </c>
      <c r="K409" s="13" t="n">
        <f aca="false">IF(F409&gt;0,J409/F409,"")</f>
        <v>0.376813768137681</v>
      </c>
      <c r="L409" s="11" t="s">
        <v>22</v>
      </c>
    </row>
    <row r="410" customFormat="false" ht="15" hidden="false" customHeight="false" outlineLevel="0" collapsed="false">
      <c r="A410" s="10" t="n">
        <v>46196.1783912037</v>
      </c>
      <c r="B410" s="11" t="s">
        <v>170</v>
      </c>
      <c r="C410" s="11" t="s">
        <v>20</v>
      </c>
      <c r="D410" s="11" t="s">
        <v>21</v>
      </c>
      <c r="E410" s="0" t="n">
        <v>0</v>
      </c>
      <c r="F410" s="12" t="n">
        <v>999.94</v>
      </c>
      <c r="G410" s="12" t="n">
        <v>23.43</v>
      </c>
      <c r="H410" s="12" t="n">
        <v>-0.99</v>
      </c>
      <c r="I410" s="12" t="n">
        <v>2.05</v>
      </c>
      <c r="J410" s="12" t="n">
        <f aca="false">G410+H410+I410</f>
        <v>24.49</v>
      </c>
      <c r="K410" s="13" t="n">
        <f aca="false">IF(F410&gt;0,J410/F410,"")</f>
        <v>0.0244914694881693</v>
      </c>
      <c r="L410" s="11" t="s">
        <v>22</v>
      </c>
    </row>
    <row r="411" customFormat="false" ht="15" hidden="false" customHeight="false" outlineLevel="0" collapsed="false">
      <c r="A411" s="10" t="n">
        <v>46196.3482175926</v>
      </c>
      <c r="B411" s="11" t="s">
        <v>191</v>
      </c>
      <c r="C411" s="11" t="s">
        <v>20</v>
      </c>
      <c r="D411" s="11" t="s">
        <v>21</v>
      </c>
      <c r="E411" s="0" t="n">
        <v>0</v>
      </c>
      <c r="F411" s="12" t="n">
        <v>1000</v>
      </c>
      <c r="G411" s="12" t="n">
        <v>187.53</v>
      </c>
      <c r="H411" s="12" t="n">
        <v>-0.91</v>
      </c>
      <c r="I411" s="12" t="n">
        <v>-38.03</v>
      </c>
      <c r="J411" s="12" t="n">
        <f aca="false">G411+H411+I411</f>
        <v>148.59</v>
      </c>
      <c r="K411" s="13" t="n">
        <f aca="false">IF(F411&gt;0,J411/F411,"")</f>
        <v>0.14859</v>
      </c>
      <c r="L411" s="11" t="s">
        <v>22</v>
      </c>
    </row>
    <row r="412" customFormat="false" ht="15" hidden="false" customHeight="false" outlineLevel="0" collapsed="false">
      <c r="A412" s="10" t="n">
        <v>46196.827650463</v>
      </c>
      <c r="B412" s="11" t="s">
        <v>179</v>
      </c>
      <c r="C412" s="11" t="s">
        <v>20</v>
      </c>
      <c r="D412" s="11" t="s">
        <v>21</v>
      </c>
      <c r="E412" s="0" t="n">
        <v>0</v>
      </c>
      <c r="F412" s="12" t="n">
        <v>999.83</v>
      </c>
      <c r="G412" s="12" t="n">
        <v>149.77</v>
      </c>
      <c r="H412" s="12" t="n">
        <v>-0.92</v>
      </c>
      <c r="I412" s="12" t="n">
        <v>0.21</v>
      </c>
      <c r="J412" s="12" t="n">
        <f aca="false">G412+H412+I412</f>
        <v>149.06</v>
      </c>
      <c r="K412" s="13" t="n">
        <f aca="false">IF(F412&gt;0,J412/F412,"")</f>
        <v>0.149085344508566</v>
      </c>
      <c r="L412" s="11" t="s">
        <v>22</v>
      </c>
    </row>
    <row r="413" customFormat="false" ht="15" hidden="false" customHeight="false" outlineLevel="0" collapsed="false">
      <c r="A413" s="10" t="n">
        <v>46197.9988773148</v>
      </c>
      <c r="B413" s="11" t="s">
        <v>66</v>
      </c>
      <c r="C413" s="11" t="s">
        <v>20</v>
      </c>
      <c r="D413" s="11" t="s">
        <v>21</v>
      </c>
      <c r="E413" s="0" t="n">
        <v>0</v>
      </c>
      <c r="F413" s="12" t="n">
        <v>999.99</v>
      </c>
      <c r="G413" s="12" t="n">
        <v>108.92</v>
      </c>
      <c r="H413" s="12" t="n">
        <v>-0.95</v>
      </c>
      <c r="I413" s="12" t="n">
        <v>-0.21</v>
      </c>
      <c r="J413" s="12" t="n">
        <f aca="false">G413+H413+I413</f>
        <v>107.76</v>
      </c>
      <c r="K413" s="13" t="n">
        <f aca="false">IF(F413&gt;0,J413/F413,"")</f>
        <v>0.107761077610776</v>
      </c>
      <c r="L413" s="11" t="s">
        <v>22</v>
      </c>
    </row>
    <row r="414" customFormat="false" ht="15" hidden="false" customHeight="false" outlineLevel="0" collapsed="false">
      <c r="A414" s="10" t="n">
        <v>46198.7802199074</v>
      </c>
      <c r="B414" s="11" t="s">
        <v>152</v>
      </c>
      <c r="C414" s="11" t="s">
        <v>20</v>
      </c>
      <c r="D414" s="11" t="s">
        <v>21</v>
      </c>
      <c r="E414" s="0" t="n">
        <v>0</v>
      </c>
      <c r="F414" s="12" t="n">
        <v>1999.95</v>
      </c>
      <c r="G414" s="12" t="n">
        <v>10.81</v>
      </c>
      <c r="H414" s="12" t="n">
        <v>-1.99</v>
      </c>
      <c r="I414" s="12" t="n">
        <v>-10.13</v>
      </c>
      <c r="J414" s="12" t="n">
        <f aca="false">G414+H414+I414</f>
        <v>-1.31</v>
      </c>
      <c r="K414" s="13" t="n">
        <f aca="false">IF(F414&gt;0,J414/F414,"")</f>
        <v>-0.000655016375409386</v>
      </c>
      <c r="L414" s="11" t="s">
        <v>25</v>
      </c>
    </row>
    <row r="415" customFormat="false" ht="15" hidden="false" customHeight="false" outlineLevel="0" collapsed="false">
      <c r="A415" s="10" t="n">
        <v>46199.6753125</v>
      </c>
      <c r="B415" s="11" t="s">
        <v>179</v>
      </c>
      <c r="C415" s="11" t="s">
        <v>20</v>
      </c>
      <c r="D415" s="11" t="s">
        <v>21</v>
      </c>
      <c r="E415" s="0" t="n">
        <v>0</v>
      </c>
      <c r="F415" s="12" t="n">
        <v>999.88</v>
      </c>
      <c r="G415" s="12" t="n">
        <v>-124.77</v>
      </c>
      <c r="H415" s="12" t="n">
        <v>-1.06</v>
      </c>
      <c r="I415" s="12" t="n">
        <v>-1.26</v>
      </c>
      <c r="J415" s="12" t="n">
        <f aca="false">G415+H415+I415</f>
        <v>-127.09</v>
      </c>
      <c r="K415" s="13" t="n">
        <f aca="false">IF(F415&gt;0,J415/F415,"")</f>
        <v>-0.127105252630316</v>
      </c>
      <c r="L415" s="11" t="s">
        <v>25</v>
      </c>
    </row>
    <row r="416" customFormat="false" ht="15" hidden="false" customHeight="false" outlineLevel="0" collapsed="false">
      <c r="A416" s="10" t="n">
        <v>46200.5331365741</v>
      </c>
      <c r="B416" s="11" t="s">
        <v>26</v>
      </c>
      <c r="C416" s="11" t="s">
        <v>20</v>
      </c>
      <c r="D416" s="11" t="s">
        <v>21</v>
      </c>
      <c r="E416" s="0" t="n">
        <v>0</v>
      </c>
      <c r="F416" s="12" t="n">
        <v>999.99</v>
      </c>
      <c r="G416" s="12" t="n">
        <v>-12.94</v>
      </c>
      <c r="H416" s="12" t="n">
        <v>-1.01</v>
      </c>
      <c r="I416" s="12" t="n">
        <v>0</v>
      </c>
      <c r="J416" s="12" t="n">
        <f aca="false">G416+H416+I416</f>
        <v>-13.95</v>
      </c>
      <c r="K416" s="13" t="n">
        <f aca="false">IF(F416&gt;0,J416/F416,"")</f>
        <v>-0.013950139501395</v>
      </c>
      <c r="L416" s="11" t="s">
        <v>25</v>
      </c>
    </row>
    <row r="417" customFormat="false" ht="15" hidden="false" customHeight="false" outlineLevel="0" collapsed="false">
      <c r="A417" s="10" t="n">
        <v>46201.6885300926</v>
      </c>
      <c r="B417" s="11" t="s">
        <v>197</v>
      </c>
      <c r="C417" s="11" t="s">
        <v>20</v>
      </c>
      <c r="D417" s="11" t="s">
        <v>21</v>
      </c>
      <c r="E417" s="0" t="n">
        <v>1</v>
      </c>
      <c r="F417" s="12" t="n">
        <v>1999.99</v>
      </c>
      <c r="G417" s="12" t="n">
        <v>330.67</v>
      </c>
      <c r="H417" s="12" t="n">
        <v>-1.53</v>
      </c>
      <c r="I417" s="12" t="n">
        <v>0.12</v>
      </c>
      <c r="J417" s="12" t="n">
        <f aca="false">G417+H417+I417</f>
        <v>329.26</v>
      </c>
      <c r="K417" s="13" t="n">
        <f aca="false">IF(F417&gt;0,J417/F417,"")</f>
        <v>0.164630823154116</v>
      </c>
      <c r="L417" s="11" t="s">
        <v>29</v>
      </c>
    </row>
    <row r="418" customFormat="false" ht="15" hidden="false" customHeight="false" outlineLevel="0" collapsed="false">
      <c r="A418" s="10" t="n">
        <v>46201.7044328704</v>
      </c>
      <c r="B418" s="11" t="s">
        <v>179</v>
      </c>
      <c r="C418" s="11" t="s">
        <v>20</v>
      </c>
      <c r="D418" s="11" t="s">
        <v>21</v>
      </c>
      <c r="E418" s="0" t="n">
        <v>0</v>
      </c>
      <c r="F418" s="12" t="n">
        <v>999.93</v>
      </c>
      <c r="G418" s="12" t="n">
        <v>149.93</v>
      </c>
      <c r="H418" s="12" t="n">
        <v>-0.92</v>
      </c>
      <c r="I418" s="12" t="n">
        <v>-21.36</v>
      </c>
      <c r="J418" s="12" t="n">
        <f aca="false">G418+H418+I418</f>
        <v>127.65</v>
      </c>
      <c r="K418" s="13" t="n">
        <f aca="false">IF(F418&gt;0,J418/F418,"")</f>
        <v>0.127658936125529</v>
      </c>
      <c r="L418" s="11" t="s">
        <v>22</v>
      </c>
    </row>
    <row r="419" customFormat="false" ht="15" hidden="false" customHeight="false" outlineLevel="0" collapsed="false">
      <c r="A419" s="10" t="n">
        <v>46201.8351736111</v>
      </c>
      <c r="B419" s="11" t="s">
        <v>197</v>
      </c>
      <c r="C419" s="11" t="s">
        <v>20</v>
      </c>
      <c r="D419" s="11" t="s">
        <v>21</v>
      </c>
      <c r="E419" s="0" t="n">
        <v>0</v>
      </c>
      <c r="F419" s="12" t="n">
        <v>1499.99</v>
      </c>
      <c r="G419" s="12" t="n">
        <v>51.71</v>
      </c>
      <c r="H419" s="12" t="n">
        <v>-1.47</v>
      </c>
      <c r="I419" s="12" t="n">
        <v>-0.03</v>
      </c>
      <c r="J419" s="12" t="n">
        <f aca="false">G419+H419+I419</f>
        <v>50.21</v>
      </c>
      <c r="K419" s="13" t="n">
        <f aca="false">IF(F419&gt;0,J419/F419,"")</f>
        <v>0.0334735564903766</v>
      </c>
      <c r="L419" s="11" t="s">
        <v>22</v>
      </c>
    </row>
    <row r="420" customFormat="false" ht="15" hidden="false" customHeight="false" outlineLevel="0" collapsed="false">
      <c r="A420" s="10" t="n">
        <v>46202.0890856482</v>
      </c>
      <c r="B420" s="11" t="s">
        <v>26</v>
      </c>
      <c r="C420" s="11" t="s">
        <v>20</v>
      </c>
      <c r="D420" s="11" t="s">
        <v>21</v>
      </c>
      <c r="E420" s="0" t="n">
        <v>0</v>
      </c>
      <c r="F420" s="12" t="n">
        <v>999.84</v>
      </c>
      <c r="G420" s="12" t="n">
        <v>116.31</v>
      </c>
      <c r="H420" s="12" t="n">
        <v>-0.94</v>
      </c>
      <c r="I420" s="12" t="n">
        <v>-22.11</v>
      </c>
      <c r="J420" s="12" t="n">
        <f aca="false">G420+H420+I420</f>
        <v>93.26</v>
      </c>
      <c r="K420" s="13" t="n">
        <f aca="false">IF(F420&gt;0,J420/F420,"")</f>
        <v>0.0932749239878381</v>
      </c>
      <c r="L420" s="11" t="s">
        <v>22</v>
      </c>
    </row>
    <row r="421" customFormat="false" ht="15" hidden="false" customHeight="false" outlineLevel="0" collapsed="false">
      <c r="A421" s="10" t="n">
        <v>46202.5269328704</v>
      </c>
      <c r="B421" s="11" t="s">
        <v>242</v>
      </c>
      <c r="C421" s="11" t="s">
        <v>20</v>
      </c>
      <c r="D421" s="11" t="s">
        <v>21</v>
      </c>
      <c r="E421" s="0" t="n">
        <v>0</v>
      </c>
      <c r="F421" s="12" t="n">
        <v>1000</v>
      </c>
      <c r="G421" s="12" t="n">
        <v>130.26</v>
      </c>
      <c r="H421" s="12" t="n">
        <v>-0.93</v>
      </c>
      <c r="I421" s="12" t="n">
        <v>0.22</v>
      </c>
      <c r="J421" s="12" t="n">
        <f aca="false">G421+H421+I421</f>
        <v>129.55</v>
      </c>
      <c r="K421" s="13" t="n">
        <f aca="false">IF(F421&gt;0,J421/F421,"")</f>
        <v>0.12955</v>
      </c>
      <c r="L421" s="11" t="s">
        <v>22</v>
      </c>
    </row>
    <row r="422" customFormat="false" ht="15" hidden="false" customHeight="false" outlineLevel="0" collapsed="false">
      <c r="A422" s="10" t="n">
        <v>46202.6516435185</v>
      </c>
      <c r="B422" s="11" t="s">
        <v>252</v>
      </c>
      <c r="C422" s="11" t="s">
        <v>20</v>
      </c>
      <c r="D422" s="11" t="s">
        <v>21</v>
      </c>
      <c r="E422" s="0" t="n">
        <v>2</v>
      </c>
      <c r="F422" s="12" t="n">
        <v>2999.3</v>
      </c>
      <c r="G422" s="12" t="n">
        <v>133.83</v>
      </c>
      <c r="H422" s="12" t="n">
        <v>-2.33</v>
      </c>
      <c r="I422" s="12" t="n">
        <v>8.73</v>
      </c>
      <c r="J422" s="12" t="n">
        <f aca="false">G422+H422+I422</f>
        <v>140.23</v>
      </c>
      <c r="K422" s="13" t="n">
        <f aca="false">IF(F422&gt;0,J422/F422,"")</f>
        <v>0.0467542426566199</v>
      </c>
      <c r="L422" s="11" t="s">
        <v>61</v>
      </c>
    </row>
    <row r="423" customFormat="false" ht="15" hidden="false" customHeight="false" outlineLevel="0" collapsed="false">
      <c r="A423" s="10" t="n">
        <v>46203.5391550926</v>
      </c>
      <c r="B423" s="11" t="s">
        <v>261</v>
      </c>
      <c r="C423" s="11" t="s">
        <v>20</v>
      </c>
      <c r="D423" s="11" t="s">
        <v>21</v>
      </c>
      <c r="E423" s="0" t="n">
        <v>0</v>
      </c>
      <c r="F423" s="12" t="n">
        <v>1000</v>
      </c>
      <c r="G423" s="12" t="n">
        <v>157.6</v>
      </c>
      <c r="H423" s="12" t="n">
        <v>-0.92</v>
      </c>
      <c r="I423" s="12" t="n">
        <v>-5.84</v>
      </c>
      <c r="J423" s="12" t="n">
        <f aca="false">G423+H423+I423</f>
        <v>150.84</v>
      </c>
      <c r="K423" s="13" t="n">
        <f aca="false">IF(F423&gt;0,J423/F423,"")</f>
        <v>0.15084</v>
      </c>
      <c r="L423" s="11" t="s">
        <v>22</v>
      </c>
    </row>
    <row r="424" customFormat="false" ht="15" hidden="false" customHeight="false" outlineLevel="0" collapsed="false">
      <c r="A424" s="10" t="n">
        <v>46203.5783680556</v>
      </c>
      <c r="B424" s="11" t="s">
        <v>233</v>
      </c>
      <c r="C424" s="11" t="s">
        <v>20</v>
      </c>
      <c r="D424" s="11" t="s">
        <v>21</v>
      </c>
      <c r="E424" s="0" t="n">
        <v>0</v>
      </c>
      <c r="F424" s="12" t="n">
        <v>1000</v>
      </c>
      <c r="G424" s="12" t="n">
        <v>148.74</v>
      </c>
      <c r="H424" s="12" t="n">
        <v>-0.93</v>
      </c>
      <c r="I424" s="12" t="n">
        <v>-0.57</v>
      </c>
      <c r="J424" s="12" t="n">
        <f aca="false">G424+H424+I424</f>
        <v>147.24</v>
      </c>
      <c r="K424" s="13" t="n">
        <f aca="false">IF(F424&gt;0,J424/F424,"")</f>
        <v>0.14724</v>
      </c>
      <c r="L424" s="11" t="s">
        <v>22</v>
      </c>
    </row>
    <row r="425" customFormat="false" ht="15" hidden="false" customHeight="false" outlineLevel="0" collapsed="false">
      <c r="A425" s="10" t="n">
        <v>46204.1256944445</v>
      </c>
      <c r="B425" s="11" t="s">
        <v>252</v>
      </c>
      <c r="C425" s="11" t="s">
        <v>20</v>
      </c>
      <c r="D425" s="11" t="s">
        <v>21</v>
      </c>
      <c r="E425" s="0" t="n">
        <v>0</v>
      </c>
      <c r="F425" s="12" t="n">
        <v>1999.94</v>
      </c>
      <c r="G425" s="12" t="n">
        <v>160.22</v>
      </c>
      <c r="H425" s="12" t="n">
        <v>-1.92</v>
      </c>
      <c r="I425" s="12" t="n">
        <v>0.79</v>
      </c>
      <c r="J425" s="12" t="n">
        <f aca="false">G425+H425+I425</f>
        <v>159.09</v>
      </c>
      <c r="K425" s="13" t="n">
        <f aca="false">IF(F425&gt;0,J425/F425,"")</f>
        <v>0.0795473864215927</v>
      </c>
      <c r="L425" s="11" t="s">
        <v>22</v>
      </c>
    </row>
    <row r="426" customFormat="false" ht="15" hidden="false" customHeight="false" outlineLevel="0" collapsed="false">
      <c r="A426" s="10" t="n">
        <v>46204.5537615741</v>
      </c>
      <c r="B426" s="11" t="s">
        <v>249</v>
      </c>
      <c r="C426" s="11" t="s">
        <v>20</v>
      </c>
      <c r="D426" s="11" t="s">
        <v>21</v>
      </c>
      <c r="E426" s="0" t="n">
        <v>0</v>
      </c>
      <c r="F426" s="12" t="n">
        <v>999.77</v>
      </c>
      <c r="G426" s="12" t="n">
        <v>34.07</v>
      </c>
      <c r="H426" s="12" t="n">
        <v>-0.98</v>
      </c>
      <c r="I426" s="12" t="n">
        <v>-3.18</v>
      </c>
      <c r="J426" s="12" t="n">
        <f aca="false">G426+H426+I426</f>
        <v>29.91</v>
      </c>
      <c r="K426" s="13" t="n">
        <f aca="false">IF(F426&gt;0,J426/F426,"")</f>
        <v>0.029916880882603</v>
      </c>
      <c r="L426" s="11" t="s">
        <v>22</v>
      </c>
    </row>
    <row r="427" customFormat="false" ht="15" hidden="false" customHeight="false" outlineLevel="0" collapsed="false">
      <c r="A427" s="10" t="n">
        <v>46205.0102893519</v>
      </c>
      <c r="B427" s="11" t="s">
        <v>252</v>
      </c>
      <c r="C427" s="11" t="s">
        <v>20</v>
      </c>
      <c r="D427" s="11" t="s">
        <v>21</v>
      </c>
      <c r="E427" s="0" t="n">
        <v>0</v>
      </c>
      <c r="F427" s="12" t="n">
        <v>2999.91</v>
      </c>
      <c r="G427" s="12" t="n">
        <v>329.14</v>
      </c>
      <c r="H427" s="12" t="n">
        <v>-2.84</v>
      </c>
      <c r="I427" s="12" t="n">
        <v>0.57</v>
      </c>
      <c r="J427" s="12" t="n">
        <f aca="false">G427+H427+I427</f>
        <v>326.87</v>
      </c>
      <c r="K427" s="13" t="n">
        <f aca="false">IF(F427&gt;0,J427/F427,"")</f>
        <v>0.108959935464731</v>
      </c>
      <c r="L427" s="11" t="s">
        <v>22</v>
      </c>
    </row>
    <row r="428" customFormat="false" ht="15" hidden="false" customHeight="false" outlineLevel="0" collapsed="false">
      <c r="A428" s="10" t="n">
        <v>46205.0199189815</v>
      </c>
      <c r="B428" s="11" t="s">
        <v>262</v>
      </c>
      <c r="C428" s="11" t="s">
        <v>20</v>
      </c>
      <c r="D428" s="11" t="s">
        <v>21</v>
      </c>
      <c r="E428" s="0" t="n">
        <v>0</v>
      </c>
      <c r="F428" s="12" t="n">
        <v>1000</v>
      </c>
      <c r="G428" s="12" t="n">
        <v>153.78</v>
      </c>
      <c r="H428" s="12" t="n">
        <v>-0.92</v>
      </c>
      <c r="I428" s="12" t="n">
        <v>-3.26</v>
      </c>
      <c r="J428" s="12" t="n">
        <f aca="false">G428+H428+I428</f>
        <v>149.6</v>
      </c>
      <c r="K428" s="13" t="n">
        <f aca="false">IF(F428&gt;0,J428/F428,"")</f>
        <v>0.1496</v>
      </c>
      <c r="L428" s="11" t="s">
        <v>22</v>
      </c>
    </row>
    <row r="429" customFormat="false" ht="15" hidden="false" customHeight="false" outlineLevel="0" collapsed="false">
      <c r="A429" s="10" t="n">
        <v>46205.0228356482</v>
      </c>
      <c r="B429" s="11" t="s">
        <v>259</v>
      </c>
      <c r="C429" s="11" t="s">
        <v>20</v>
      </c>
      <c r="D429" s="11" t="s">
        <v>21</v>
      </c>
      <c r="E429" s="0" t="n">
        <v>0</v>
      </c>
      <c r="F429" s="12" t="n">
        <v>1000</v>
      </c>
      <c r="G429" s="12" t="n">
        <v>17.43</v>
      </c>
      <c r="H429" s="12" t="n">
        <v>-0.99</v>
      </c>
      <c r="I429" s="12" t="n">
        <v>3.97</v>
      </c>
      <c r="J429" s="12" t="n">
        <f aca="false">G429+H429+I429</f>
        <v>20.41</v>
      </c>
      <c r="K429" s="13" t="n">
        <f aca="false">IF(F429&gt;0,J429/F429,"")</f>
        <v>0.02041</v>
      </c>
      <c r="L429" s="11" t="s">
        <v>22</v>
      </c>
    </row>
    <row r="430" customFormat="false" ht="15" hidden="false" customHeight="false" outlineLevel="0" collapsed="false">
      <c r="A430" s="10" t="n">
        <v>46205.0307986111</v>
      </c>
      <c r="B430" s="11" t="s">
        <v>157</v>
      </c>
      <c r="C430" s="11" t="s">
        <v>20</v>
      </c>
      <c r="D430" s="11" t="s">
        <v>21</v>
      </c>
      <c r="E430" s="0" t="n">
        <v>0</v>
      </c>
      <c r="F430" s="12" t="n">
        <v>1000</v>
      </c>
      <c r="G430" s="12" t="n">
        <v>106.9</v>
      </c>
      <c r="H430" s="12" t="n">
        <v>-0.95</v>
      </c>
      <c r="I430" s="12" t="n">
        <v>-4.77</v>
      </c>
      <c r="J430" s="12" t="n">
        <f aca="false">G430+H430+I430</f>
        <v>101.18</v>
      </c>
      <c r="K430" s="13" t="n">
        <f aca="false">IF(F430&gt;0,J430/F430,"")</f>
        <v>0.10118</v>
      </c>
      <c r="L430" s="11" t="s">
        <v>22</v>
      </c>
    </row>
    <row r="431" customFormat="false" ht="15" hidden="false" customHeight="false" outlineLevel="0" collapsed="false">
      <c r="A431" s="10" t="n">
        <v>46205.091087963</v>
      </c>
      <c r="B431" s="11" t="s">
        <v>252</v>
      </c>
      <c r="C431" s="11" t="s">
        <v>20</v>
      </c>
      <c r="D431" s="11" t="s">
        <v>21</v>
      </c>
      <c r="E431" s="0" t="n">
        <v>0</v>
      </c>
      <c r="F431" s="12" t="n">
        <v>2999.76</v>
      </c>
      <c r="G431" s="12" t="n">
        <v>-80.83</v>
      </c>
      <c r="H431" s="12" t="n">
        <v>-3.04</v>
      </c>
      <c r="I431" s="12" t="n">
        <v>0</v>
      </c>
      <c r="J431" s="12" t="n">
        <f aca="false">G431+H431+I431</f>
        <v>-83.87</v>
      </c>
      <c r="K431" s="13" t="n">
        <f aca="false">IF(F431&gt;0,J431/F431,"")</f>
        <v>-0.027958903378937</v>
      </c>
      <c r="L431" s="11" t="s">
        <v>25</v>
      </c>
    </row>
    <row r="432" customFormat="false" ht="15" hidden="false" customHeight="false" outlineLevel="0" collapsed="false">
      <c r="A432" s="10" t="n">
        <v>46205.6248726852</v>
      </c>
      <c r="B432" s="11" t="s">
        <v>227</v>
      </c>
      <c r="C432" s="11" t="s">
        <v>20</v>
      </c>
      <c r="D432" s="11" t="s">
        <v>21</v>
      </c>
      <c r="E432" s="0" t="n">
        <v>0</v>
      </c>
      <c r="F432" s="12" t="n">
        <v>999.9</v>
      </c>
      <c r="G432" s="12" t="n">
        <v>110.04</v>
      </c>
      <c r="H432" s="12" t="n">
        <v>-0.94</v>
      </c>
      <c r="I432" s="12" t="n">
        <v>0.02</v>
      </c>
      <c r="J432" s="12" t="n">
        <f aca="false">G432+H432+I432</f>
        <v>109.12</v>
      </c>
      <c r="K432" s="13" t="n">
        <f aca="false">IF(F432&gt;0,J432/F432,"")</f>
        <v>0.109130913091309</v>
      </c>
      <c r="L432" s="11" t="s">
        <v>22</v>
      </c>
    </row>
    <row r="433" customFormat="false" ht="15" hidden="false" customHeight="false" outlineLevel="0" collapsed="false">
      <c r="A433" s="10" t="n">
        <v>46205.9447222222</v>
      </c>
      <c r="B433" s="11" t="s">
        <v>157</v>
      </c>
      <c r="C433" s="11" t="s">
        <v>20</v>
      </c>
      <c r="D433" s="11" t="s">
        <v>21</v>
      </c>
      <c r="E433" s="0" t="n">
        <v>0</v>
      </c>
      <c r="F433" s="12" t="n">
        <v>1000</v>
      </c>
      <c r="G433" s="12" t="n">
        <v>75.81</v>
      </c>
      <c r="H433" s="12" t="n">
        <v>-0.96</v>
      </c>
      <c r="I433" s="12" t="n">
        <v>-1.28</v>
      </c>
      <c r="J433" s="12" t="n">
        <f aca="false">G433+H433+I433</f>
        <v>73.57</v>
      </c>
      <c r="K433" s="13" t="n">
        <f aca="false">IF(F433&gt;0,J433/F433,"")</f>
        <v>0.07357</v>
      </c>
      <c r="L433" s="11" t="s">
        <v>22</v>
      </c>
    </row>
    <row r="434" customFormat="false" ht="15" hidden="false" customHeight="false" outlineLevel="0" collapsed="false">
      <c r="A434" s="10" t="n">
        <v>46206.0777430556</v>
      </c>
      <c r="B434" s="11" t="s">
        <v>262</v>
      </c>
      <c r="C434" s="11" t="s">
        <v>20</v>
      </c>
      <c r="D434" s="11" t="s">
        <v>21</v>
      </c>
      <c r="E434" s="0" t="n">
        <v>0</v>
      </c>
      <c r="F434" s="12" t="n">
        <v>1000</v>
      </c>
      <c r="G434" s="12" t="n">
        <v>118.68</v>
      </c>
      <c r="H434" s="12" t="n">
        <v>-0.94</v>
      </c>
      <c r="I434" s="12" t="n">
        <v>-3.14</v>
      </c>
      <c r="J434" s="12" t="n">
        <f aca="false">G434+H434+I434</f>
        <v>114.6</v>
      </c>
      <c r="K434" s="13" t="n">
        <f aca="false">IF(F434&gt;0,J434/F434,"")</f>
        <v>0.1146</v>
      </c>
      <c r="L434" s="11" t="s">
        <v>22</v>
      </c>
    </row>
    <row r="435" customFormat="false" ht="15" hidden="false" customHeight="false" outlineLevel="0" collapsed="false">
      <c r="A435" s="10" t="n">
        <v>46206.4825231481</v>
      </c>
      <c r="B435" s="11" t="s">
        <v>69</v>
      </c>
      <c r="C435" s="11" t="s">
        <v>20</v>
      </c>
      <c r="D435" s="11" t="s">
        <v>21</v>
      </c>
      <c r="E435" s="0" t="n">
        <v>0</v>
      </c>
      <c r="F435" s="12" t="n">
        <v>999.9</v>
      </c>
      <c r="G435" s="12" t="n">
        <v>122.41</v>
      </c>
      <c r="H435" s="12" t="n">
        <v>-0.94</v>
      </c>
      <c r="I435" s="12" t="n">
        <v>0.47</v>
      </c>
      <c r="J435" s="12" t="n">
        <f aca="false">G435+H435+I435</f>
        <v>121.94</v>
      </c>
      <c r="K435" s="13" t="n">
        <f aca="false">IF(F435&gt;0,J435/F435,"")</f>
        <v>0.121952195219522</v>
      </c>
      <c r="L435" s="11" t="s">
        <v>22</v>
      </c>
    </row>
    <row r="436" customFormat="false" ht="15" hidden="false" customHeight="false" outlineLevel="0" collapsed="false">
      <c r="A436" s="10" t="n">
        <v>46206.5876851852</v>
      </c>
      <c r="B436" s="11" t="s">
        <v>62</v>
      </c>
      <c r="C436" s="11" t="s">
        <v>20</v>
      </c>
      <c r="D436" s="11" t="s">
        <v>21</v>
      </c>
      <c r="E436" s="0" t="n">
        <v>0</v>
      </c>
      <c r="F436" s="12" t="n">
        <v>999.99</v>
      </c>
      <c r="G436" s="12" t="n">
        <v>97.41</v>
      </c>
      <c r="H436" s="12" t="n">
        <v>-0.95</v>
      </c>
      <c r="I436" s="12" t="n">
        <v>0</v>
      </c>
      <c r="J436" s="12" t="n">
        <f aca="false">G436+H436+I436</f>
        <v>96.46</v>
      </c>
      <c r="K436" s="13" t="n">
        <f aca="false">IF(F436&gt;0,J436/F436,"")</f>
        <v>0.0964609646096461</v>
      </c>
      <c r="L436" s="11" t="s">
        <v>22</v>
      </c>
    </row>
    <row r="437" customFormat="false" ht="15" hidden="false" customHeight="false" outlineLevel="0" collapsed="false">
      <c r="A437" s="10" t="n">
        <v>46206.6292476852</v>
      </c>
      <c r="B437" s="11" t="s">
        <v>62</v>
      </c>
      <c r="C437" s="11" t="s">
        <v>20</v>
      </c>
      <c r="D437" s="11" t="s">
        <v>21</v>
      </c>
      <c r="E437" s="0" t="n">
        <v>0</v>
      </c>
      <c r="F437" s="12" t="n">
        <v>999.99</v>
      </c>
      <c r="G437" s="12" t="n">
        <v>-13.3</v>
      </c>
      <c r="H437" s="12" t="n">
        <v>-1.01</v>
      </c>
      <c r="I437" s="12" t="n">
        <v>0</v>
      </c>
      <c r="J437" s="12" t="n">
        <f aca="false">G437+H437+I437</f>
        <v>-14.31</v>
      </c>
      <c r="K437" s="13" t="n">
        <f aca="false">IF(F437&gt;0,J437/F437,"")</f>
        <v>-0.014310143101431</v>
      </c>
      <c r="L437" s="11" t="s">
        <v>25</v>
      </c>
    </row>
    <row r="438" customFormat="false" ht="15" hidden="false" customHeight="false" outlineLevel="0" collapsed="false">
      <c r="A438" s="10" t="n">
        <v>46207.7013310185</v>
      </c>
      <c r="B438" s="11" t="s">
        <v>227</v>
      </c>
      <c r="C438" s="11" t="s">
        <v>20</v>
      </c>
      <c r="D438" s="11" t="s">
        <v>21</v>
      </c>
      <c r="E438" s="0" t="n">
        <v>0</v>
      </c>
      <c r="F438" s="12" t="n">
        <v>999.99</v>
      </c>
      <c r="G438" s="12" t="n">
        <v>101.79</v>
      </c>
      <c r="H438" s="12" t="n">
        <v>-0.95</v>
      </c>
      <c r="I438" s="12" t="n">
        <v>0.04</v>
      </c>
      <c r="J438" s="12" t="n">
        <f aca="false">G438+H438+I438</f>
        <v>100.88</v>
      </c>
      <c r="K438" s="13" t="n">
        <f aca="false">IF(F438&gt;0,J438/F438,"")</f>
        <v>0.100881008810088</v>
      </c>
      <c r="L438" s="11" t="s">
        <v>22</v>
      </c>
    </row>
    <row r="439" customFormat="false" ht="15" hidden="false" customHeight="false" outlineLevel="0" collapsed="false">
      <c r="A439" s="10" t="n">
        <v>46207.7873032407</v>
      </c>
      <c r="B439" s="11" t="s">
        <v>262</v>
      </c>
      <c r="C439" s="11" t="s">
        <v>20</v>
      </c>
      <c r="D439" s="11" t="s">
        <v>21</v>
      </c>
      <c r="E439" s="0" t="n">
        <v>0</v>
      </c>
      <c r="F439" s="12" t="n">
        <v>1000</v>
      </c>
      <c r="G439" s="12" t="n">
        <v>152.75</v>
      </c>
      <c r="H439" s="12" t="n">
        <v>-0.92</v>
      </c>
      <c r="I439" s="12" t="n">
        <v>-3.31</v>
      </c>
      <c r="J439" s="12" t="n">
        <f aca="false">G439+H439+I439</f>
        <v>148.52</v>
      </c>
      <c r="K439" s="13" t="n">
        <f aca="false">IF(F439&gt;0,J439/F439,"")</f>
        <v>0.14852</v>
      </c>
      <c r="L439" s="11" t="s">
        <v>22</v>
      </c>
    </row>
    <row r="440" customFormat="false" ht="15" hidden="false" customHeight="false" outlineLevel="0" collapsed="false">
      <c r="A440" s="10" t="n">
        <v>46208.0590972222</v>
      </c>
      <c r="B440" s="11" t="s">
        <v>105</v>
      </c>
      <c r="C440" s="11" t="s">
        <v>20</v>
      </c>
      <c r="D440" s="11" t="s">
        <v>21</v>
      </c>
      <c r="E440" s="0" t="n">
        <v>0</v>
      </c>
      <c r="F440" s="12" t="n">
        <v>1000</v>
      </c>
      <c r="G440" s="12" t="n">
        <v>97.89</v>
      </c>
      <c r="H440" s="12" t="n">
        <v>-0.95</v>
      </c>
      <c r="I440" s="12" t="n">
        <v>-13.45</v>
      </c>
      <c r="J440" s="12" t="n">
        <f aca="false">G440+H440+I440</f>
        <v>83.49</v>
      </c>
      <c r="K440" s="13" t="n">
        <f aca="false">IF(F440&gt;0,J440/F440,"")</f>
        <v>0.08349</v>
      </c>
      <c r="L440" s="11" t="s">
        <v>22</v>
      </c>
    </row>
    <row r="441" customFormat="false" ht="15" hidden="false" customHeight="false" outlineLevel="0" collapsed="false">
      <c r="A441" s="10" t="n">
        <v>46208.1277314815</v>
      </c>
      <c r="B441" s="11" t="s">
        <v>157</v>
      </c>
      <c r="C441" s="11" t="s">
        <v>20</v>
      </c>
      <c r="D441" s="11" t="s">
        <v>21</v>
      </c>
      <c r="E441" s="0" t="n">
        <v>0</v>
      </c>
      <c r="F441" s="12" t="n">
        <v>1000</v>
      </c>
      <c r="G441" s="12" t="n">
        <v>107.43</v>
      </c>
      <c r="H441" s="12" t="n">
        <v>-0.95</v>
      </c>
      <c r="I441" s="12" t="n">
        <v>0.41</v>
      </c>
      <c r="J441" s="12" t="n">
        <f aca="false">G441+H441+I441</f>
        <v>106.89</v>
      </c>
      <c r="K441" s="13" t="n">
        <f aca="false">IF(F441&gt;0,J441/F441,"")</f>
        <v>0.10689</v>
      </c>
      <c r="L441" s="11" t="s">
        <v>22</v>
      </c>
    </row>
    <row r="442" customFormat="false" ht="15" hidden="false" customHeight="false" outlineLevel="0" collapsed="false">
      <c r="A442" s="10" t="n">
        <v>46208.1371180556</v>
      </c>
      <c r="B442" s="11" t="s">
        <v>189</v>
      </c>
      <c r="C442" s="11" t="s">
        <v>20</v>
      </c>
      <c r="D442" s="11" t="s">
        <v>21</v>
      </c>
      <c r="E442" s="0" t="n">
        <v>1</v>
      </c>
      <c r="F442" s="12" t="n">
        <v>2000</v>
      </c>
      <c r="G442" s="12" t="n">
        <v>227.2</v>
      </c>
      <c r="H442" s="12" t="n">
        <v>-1.89</v>
      </c>
      <c r="I442" s="12" t="n">
        <v>0.28</v>
      </c>
      <c r="J442" s="12" t="n">
        <f aca="false">G442+H442+I442</f>
        <v>225.59</v>
      </c>
      <c r="K442" s="13" t="n">
        <f aca="false">IF(F442&gt;0,J442/F442,"")</f>
        <v>0.112795</v>
      </c>
      <c r="L442" s="11" t="s">
        <v>29</v>
      </c>
    </row>
    <row r="443" customFormat="false" ht="15" hidden="false" customHeight="false" outlineLevel="0" collapsed="false">
      <c r="A443" s="10" t="n">
        <v>46209.6409953704</v>
      </c>
      <c r="B443" s="11" t="s">
        <v>125</v>
      </c>
      <c r="C443" s="11" t="s">
        <v>20</v>
      </c>
      <c r="D443" s="11" t="s">
        <v>21</v>
      </c>
      <c r="E443" s="0" t="n">
        <v>0</v>
      </c>
      <c r="F443" s="12" t="n">
        <v>1000</v>
      </c>
      <c r="G443" s="12" t="n">
        <v>-1000</v>
      </c>
      <c r="H443" s="12" t="n">
        <v>0</v>
      </c>
      <c r="I443" s="12" t="n">
        <v>0</v>
      </c>
      <c r="J443" s="12" t="n">
        <f aca="false">G443+H443+I443</f>
        <v>-1000</v>
      </c>
      <c r="K443" s="13" t="n">
        <f aca="false">IF(F443&gt;0,J443/F443,"")</f>
        <v>-1</v>
      </c>
      <c r="L443" s="11" t="s">
        <v>153</v>
      </c>
    </row>
    <row r="444" customFormat="false" ht="15" hidden="false" customHeight="false" outlineLevel="0" collapsed="false">
      <c r="A444" s="10" t="n">
        <v>46209.8831481482</v>
      </c>
      <c r="B444" s="11" t="s">
        <v>108</v>
      </c>
      <c r="C444" s="11" t="s">
        <v>20</v>
      </c>
      <c r="D444" s="11" t="s">
        <v>21</v>
      </c>
      <c r="E444" s="0" t="n">
        <v>0</v>
      </c>
      <c r="F444" s="12" t="n">
        <v>1000</v>
      </c>
      <c r="G444" s="12" t="n">
        <v>21.69</v>
      </c>
      <c r="H444" s="12" t="n">
        <v>0</v>
      </c>
      <c r="I444" s="12" t="n">
        <v>0</v>
      </c>
      <c r="J444" s="12" t="n">
        <f aca="false">G444+H444+I444</f>
        <v>21.69</v>
      </c>
      <c r="K444" s="13" t="n">
        <f aca="false">IF(F444&gt;0,J444/F444,"")</f>
        <v>0.02169</v>
      </c>
      <c r="L444" s="11" t="s">
        <v>22</v>
      </c>
    </row>
    <row r="445" customFormat="false" ht="15" hidden="false" customHeight="false" outlineLevel="0" collapsed="false">
      <c r="A445" s="10" t="n">
        <v>46212.4853009259</v>
      </c>
      <c r="B445" s="11" t="s">
        <v>77</v>
      </c>
      <c r="C445" s="11" t="s">
        <v>20</v>
      </c>
      <c r="D445" s="11" t="s">
        <v>21</v>
      </c>
      <c r="E445" s="0" t="n">
        <v>0</v>
      </c>
      <c r="F445" s="12" t="n">
        <v>1000</v>
      </c>
      <c r="G445" s="12" t="n">
        <v>204.5</v>
      </c>
      <c r="H445" s="12" t="n">
        <v>0</v>
      </c>
      <c r="I445" s="12" t="n">
        <v>0</v>
      </c>
      <c r="J445" s="12" t="n">
        <f aca="false">G445+H445+I445</f>
        <v>204.5</v>
      </c>
      <c r="K445" s="13" t="n">
        <f aca="false">IF(F445&gt;0,J445/F445,"")</f>
        <v>0.2045</v>
      </c>
      <c r="L445" s="11" t="s">
        <v>22</v>
      </c>
    </row>
    <row r="446" customFormat="false" ht="15" hidden="false" customHeight="false" outlineLevel="0" collapsed="false">
      <c r="A446" s="10" t="n">
        <v>46212.5306597222</v>
      </c>
      <c r="B446" s="11" t="s">
        <v>77</v>
      </c>
      <c r="C446" s="11" t="s">
        <v>20</v>
      </c>
      <c r="D446" s="11" t="s">
        <v>21</v>
      </c>
      <c r="E446" s="0" t="n">
        <v>0</v>
      </c>
      <c r="F446" s="12" t="n">
        <v>1000</v>
      </c>
      <c r="G446" s="12" t="n">
        <v>200.32</v>
      </c>
      <c r="H446" s="12" t="n">
        <v>0</v>
      </c>
      <c r="I446" s="12" t="n">
        <v>0</v>
      </c>
      <c r="J446" s="12" t="n">
        <f aca="false">G446+H446+I446</f>
        <v>200.32</v>
      </c>
      <c r="K446" s="13" t="n">
        <f aca="false">IF(F446&gt;0,J446/F446,"")</f>
        <v>0.20032</v>
      </c>
      <c r="L446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5" min="4" style="0" width="20"/>
  </cols>
  <sheetData>
    <row r="1" customFormat="false" ht="15" hidden="false" customHeight="false" outlineLevel="0" collapsed="false">
      <c r="A1" s="9" t="s">
        <v>263</v>
      </c>
      <c r="B1" s="9" t="s">
        <v>264</v>
      </c>
      <c r="C1" s="9" t="s">
        <v>265</v>
      </c>
      <c r="D1" s="9" t="s">
        <v>266</v>
      </c>
      <c r="E1" s="9" t="s">
        <v>267</v>
      </c>
    </row>
    <row r="2" customFormat="false" ht="15" hidden="false" customHeight="false" outlineLevel="0" collapsed="false">
      <c r="A2" s="14" t="n">
        <v>46074</v>
      </c>
      <c r="B2" s="11" t="n">
        <f aca="false">COUNTIFS(Operaciones!$A$2:$A$446,"&gt;="&amp;A2,Operaciones!$A$2:$A$446,"&lt;"&amp;A2+1)</f>
        <v>1</v>
      </c>
      <c r="C2" s="12" t="n">
        <f aca="false">SUMIFS(Operaciones!$J$2:$J$446,Operaciones!$A$2:$A$446,"&gt;="&amp;A2,Operaciones!$A$2:$A$446,"&lt;"&amp;A2+1)</f>
        <v>86.65</v>
      </c>
      <c r="D2" s="13" t="n">
        <f aca="false">IFERROR(AVERAGEIFS(Operaciones!$K$2:$K$446,Operaciones!$A$2:$A$446,"&gt;="&amp;A2,Operaciones!$A$2:$A$446,"&lt;"&amp;A2+1),"")</f>
        <v>0.0866517330346607</v>
      </c>
      <c r="E2" s="12" t="n">
        <f aca="false">C2</f>
        <v>86.65</v>
      </c>
    </row>
    <row r="3" customFormat="false" ht="15" hidden="false" customHeight="false" outlineLevel="0" collapsed="false">
      <c r="A3" s="14" t="n">
        <v>46075</v>
      </c>
      <c r="B3" s="11" t="n">
        <f aca="false">COUNTIFS(Operaciones!$A$2:$A$446,"&gt;="&amp;A3,Operaciones!$A$2:$A$446,"&lt;"&amp;A3+1)</f>
        <v>1</v>
      </c>
      <c r="C3" s="12" t="n">
        <f aca="false">SUMIFS(Operaciones!$J$2:$J$446,Operaciones!$A$2:$A$446,"&gt;="&amp;A3,Operaciones!$A$2:$A$446,"&lt;"&amp;A3+1)</f>
        <v>91.95</v>
      </c>
      <c r="D3" s="13" t="n">
        <f aca="false">IFERROR(AVERAGEIFS(Operaciones!$K$2:$K$446,Operaciones!$A$2:$A$446,"&gt;="&amp;A3,Operaciones!$A$2:$A$446,"&lt;"&amp;A3+1),"")</f>
        <v>0.0840109639104614</v>
      </c>
      <c r="E3" s="12" t="n">
        <f aca="false">E2+C3</f>
        <v>178.6</v>
      </c>
    </row>
    <row r="4" customFormat="false" ht="15" hidden="false" customHeight="false" outlineLevel="0" collapsed="false">
      <c r="A4" s="14" t="n">
        <v>46076</v>
      </c>
      <c r="B4" s="11" t="n">
        <f aca="false">COUNTIFS(Operaciones!$A$2:$A$446,"&gt;="&amp;A4,Operaciones!$A$2:$A$446,"&lt;"&amp;A4+1)</f>
        <v>2</v>
      </c>
      <c r="C4" s="12" t="n">
        <f aca="false">SUMIFS(Operaciones!$J$2:$J$446,Operaciones!$A$2:$A$446,"&gt;="&amp;A4,Operaciones!$A$2:$A$446,"&lt;"&amp;A4+1)</f>
        <v>-28.92</v>
      </c>
      <c r="D4" s="13" t="n">
        <f aca="false">IFERROR(AVERAGEIFS(Operaciones!$K$2:$K$446,Operaciones!$A$2:$A$446,"&gt;="&amp;A4,Operaciones!$A$2:$A$446,"&lt;"&amp;A4+1),"")</f>
        <v>-0.0233659788756451</v>
      </c>
      <c r="E4" s="12" t="n">
        <f aca="false">E3+C4</f>
        <v>149.68</v>
      </c>
    </row>
    <row r="5" customFormat="false" ht="15" hidden="false" customHeight="false" outlineLevel="0" collapsed="false">
      <c r="A5" s="14" t="n">
        <v>46077</v>
      </c>
      <c r="B5" s="11" t="n">
        <f aca="false">COUNTIFS(Operaciones!$A$2:$A$446,"&gt;="&amp;A5,Operaciones!$A$2:$A$446,"&lt;"&amp;A5+1)</f>
        <v>1</v>
      </c>
      <c r="C5" s="12" t="n">
        <f aca="false">SUMIFS(Operaciones!$J$2:$J$446,Operaciones!$A$2:$A$446,"&gt;="&amp;A5,Operaciones!$A$2:$A$446,"&lt;"&amp;A5+1)</f>
        <v>95.19</v>
      </c>
      <c r="D5" s="13" t="n">
        <f aca="false">IFERROR(AVERAGEIFS(Operaciones!$K$2:$K$446,Operaciones!$A$2:$A$446,"&gt;="&amp;A5,Operaciones!$A$2:$A$446,"&lt;"&amp;A5+1),"")</f>
        <v>0.0951938077523101</v>
      </c>
      <c r="E5" s="12" t="n">
        <f aca="false">E4+C5</f>
        <v>244.87</v>
      </c>
    </row>
    <row r="6" customFormat="false" ht="15" hidden="false" customHeight="false" outlineLevel="0" collapsed="false">
      <c r="A6" s="14" t="n">
        <v>46079</v>
      </c>
      <c r="B6" s="11" t="n">
        <f aca="false">COUNTIFS(Operaciones!$A$2:$A$446,"&gt;="&amp;A6,Operaciones!$A$2:$A$446,"&lt;"&amp;A6+1)</f>
        <v>4</v>
      </c>
      <c r="C6" s="12" t="n">
        <f aca="false">SUMIFS(Operaciones!$J$2:$J$446,Operaciones!$A$2:$A$446,"&gt;="&amp;A6,Operaciones!$A$2:$A$446,"&lt;"&amp;A6+1)</f>
        <v>249.05</v>
      </c>
      <c r="D6" s="13" t="n">
        <f aca="false">IFERROR(AVERAGEIFS(Operaciones!$K$2:$K$446,Operaciones!$A$2:$A$446,"&gt;="&amp;A6,Operaciones!$A$2:$A$446,"&lt;"&amp;A6+1),"")</f>
        <v>0.0418545406936771</v>
      </c>
      <c r="E6" s="12" t="n">
        <f aca="false">E5+C6</f>
        <v>493.92</v>
      </c>
    </row>
    <row r="7" customFormat="false" ht="15" hidden="false" customHeight="false" outlineLevel="0" collapsed="false">
      <c r="A7" s="14" t="n">
        <v>46080</v>
      </c>
      <c r="B7" s="11" t="n">
        <f aca="false">COUNTIFS(Operaciones!$A$2:$A$446,"&gt;="&amp;A7,Operaciones!$A$2:$A$446,"&lt;"&amp;A7+1)</f>
        <v>6</v>
      </c>
      <c r="C7" s="12" t="n">
        <f aca="false">SUMIFS(Operaciones!$J$2:$J$446,Operaciones!$A$2:$A$446,"&gt;="&amp;A7,Operaciones!$A$2:$A$446,"&lt;"&amp;A7+1)</f>
        <v>320.57</v>
      </c>
      <c r="D7" s="13" t="n">
        <f aca="false">IFERROR(AVERAGEIFS(Operaciones!$K$2:$K$446,Operaciones!$A$2:$A$446,"&gt;="&amp;A7,Operaciones!$A$2:$A$446,"&lt;"&amp;A7+1),"")</f>
        <v>0.0338614940557443</v>
      </c>
      <c r="E7" s="12" t="n">
        <f aca="false">E6+C7</f>
        <v>814.49</v>
      </c>
    </row>
    <row r="8" customFormat="false" ht="15" hidden="false" customHeight="false" outlineLevel="0" collapsed="false">
      <c r="A8" s="14" t="n">
        <v>46081</v>
      </c>
      <c r="B8" s="11" t="n">
        <f aca="false">COUNTIFS(Operaciones!$A$2:$A$446,"&gt;="&amp;A8,Operaciones!$A$2:$A$446,"&lt;"&amp;A8+1)</f>
        <v>3</v>
      </c>
      <c r="C8" s="12" t="n">
        <f aca="false">SUMIFS(Operaciones!$J$2:$J$446,Operaciones!$A$2:$A$446,"&gt;="&amp;A8,Operaciones!$A$2:$A$446,"&lt;"&amp;A8+1)</f>
        <v>73.46</v>
      </c>
      <c r="D8" s="13" t="n">
        <f aca="false">IFERROR(AVERAGEIFS(Operaciones!$K$2:$K$446,Operaciones!$A$2:$A$446,"&gt;="&amp;A8,Operaciones!$A$2:$A$446,"&lt;"&amp;A8+1),"")</f>
        <v>0.0329588465269322</v>
      </c>
      <c r="E8" s="12" t="n">
        <f aca="false">E7+C8</f>
        <v>887.95</v>
      </c>
    </row>
    <row r="9" customFormat="false" ht="15" hidden="false" customHeight="false" outlineLevel="0" collapsed="false">
      <c r="A9" s="14" t="n">
        <v>46082</v>
      </c>
      <c r="B9" s="11" t="n">
        <f aca="false">COUNTIFS(Operaciones!$A$2:$A$446,"&gt;="&amp;A9,Operaciones!$A$2:$A$446,"&lt;"&amp;A9+1)</f>
        <v>3</v>
      </c>
      <c r="C9" s="12" t="n">
        <f aca="false">SUMIFS(Operaciones!$J$2:$J$446,Operaciones!$A$2:$A$446,"&gt;="&amp;A9,Operaciones!$A$2:$A$446,"&lt;"&amp;A9+1)</f>
        <v>370.72</v>
      </c>
      <c r="D9" s="13" t="n">
        <f aca="false">IFERROR(AVERAGEIFS(Operaciones!$K$2:$K$446,Operaciones!$A$2:$A$446,"&gt;="&amp;A9,Operaciones!$A$2:$A$446,"&lt;"&amp;A9+1),"")</f>
        <v>0.0593759566587753</v>
      </c>
      <c r="E9" s="12" t="n">
        <f aca="false">E8+C9</f>
        <v>1258.67</v>
      </c>
    </row>
    <row r="10" customFormat="false" ht="15" hidden="false" customHeight="false" outlineLevel="0" collapsed="false">
      <c r="A10" s="14" t="n">
        <v>46083</v>
      </c>
      <c r="B10" s="11" t="n">
        <f aca="false">COUNTIFS(Operaciones!$A$2:$A$446,"&gt;="&amp;A10,Operaciones!$A$2:$A$446,"&lt;"&amp;A10+1)</f>
        <v>8</v>
      </c>
      <c r="C10" s="12" t="n">
        <f aca="false">SUMIFS(Operaciones!$J$2:$J$446,Operaciones!$A$2:$A$446,"&gt;="&amp;A10,Operaciones!$A$2:$A$446,"&lt;"&amp;A10+1)</f>
        <v>618.23</v>
      </c>
      <c r="D10" s="13" t="n">
        <f aca="false">IFERROR(AVERAGEIFS(Operaciones!$K$2:$K$446,Operaciones!$A$2:$A$446,"&gt;="&amp;A10,Operaciones!$A$2:$A$446,"&lt;"&amp;A10+1),"")</f>
        <v>0.0397950652879178</v>
      </c>
      <c r="E10" s="12" t="n">
        <f aca="false">E9+C10</f>
        <v>1876.9</v>
      </c>
    </row>
    <row r="11" customFormat="false" ht="15" hidden="false" customHeight="false" outlineLevel="0" collapsed="false">
      <c r="A11" s="14" t="n">
        <v>46084</v>
      </c>
      <c r="B11" s="11" t="n">
        <f aca="false">COUNTIFS(Operaciones!$A$2:$A$446,"&gt;="&amp;A11,Operaciones!$A$2:$A$446,"&lt;"&amp;A11+1)</f>
        <v>8</v>
      </c>
      <c r="C11" s="12" t="n">
        <f aca="false">SUMIFS(Operaciones!$J$2:$J$446,Operaciones!$A$2:$A$446,"&gt;="&amp;A11,Operaciones!$A$2:$A$446,"&lt;"&amp;A11+1)</f>
        <v>446.96</v>
      </c>
      <c r="D11" s="13" t="n">
        <f aca="false">IFERROR(AVERAGEIFS(Operaciones!$K$2:$K$446,Operaciones!$A$2:$A$446,"&gt;="&amp;A11,Operaciones!$A$2:$A$446,"&lt;"&amp;A11+1),"")</f>
        <v>0.027935087106357</v>
      </c>
      <c r="E11" s="12" t="n">
        <f aca="false">E10+C11</f>
        <v>2323.86</v>
      </c>
    </row>
    <row r="12" customFormat="false" ht="15" hidden="false" customHeight="false" outlineLevel="0" collapsed="false">
      <c r="A12" s="14" t="n">
        <v>46085</v>
      </c>
      <c r="B12" s="11" t="n">
        <f aca="false">COUNTIFS(Operaciones!$A$2:$A$446,"&gt;="&amp;A12,Operaciones!$A$2:$A$446,"&lt;"&amp;A12+1)</f>
        <v>2</v>
      </c>
      <c r="C12" s="12" t="n">
        <f aca="false">SUMIFS(Operaciones!$J$2:$J$446,Operaciones!$A$2:$A$446,"&gt;="&amp;A12,Operaciones!$A$2:$A$446,"&lt;"&amp;A12+1)</f>
        <v>24.43</v>
      </c>
      <c r="D12" s="13" t="n">
        <f aca="false">IFERROR(AVERAGEIFS(Operaciones!$K$2:$K$446,Operaciones!$A$2:$A$446,"&gt;="&amp;A12,Operaciones!$A$2:$A$446,"&lt;"&amp;A12+1),"")</f>
        <v>0.000881512633747284</v>
      </c>
      <c r="E12" s="12" t="n">
        <f aca="false">E11+C12</f>
        <v>2348.29</v>
      </c>
    </row>
    <row r="13" customFormat="false" ht="15" hidden="false" customHeight="false" outlineLevel="0" collapsed="false">
      <c r="A13" s="14" t="n">
        <v>46086</v>
      </c>
      <c r="B13" s="11" t="n">
        <f aca="false">COUNTIFS(Operaciones!$A$2:$A$446,"&gt;="&amp;A13,Operaciones!$A$2:$A$446,"&lt;"&amp;A13+1)</f>
        <v>10</v>
      </c>
      <c r="C13" s="12" t="n">
        <f aca="false">SUMIFS(Operaciones!$J$2:$J$446,Operaciones!$A$2:$A$446,"&gt;="&amp;A13,Operaciones!$A$2:$A$446,"&lt;"&amp;A13+1)</f>
        <v>631.16</v>
      </c>
      <c r="D13" s="13" t="n">
        <f aca="false">IFERROR(AVERAGEIFS(Operaciones!$K$2:$K$446,Operaciones!$A$2:$A$446,"&gt;="&amp;A13,Operaciones!$A$2:$A$446,"&lt;"&amp;A13+1),"")</f>
        <v>0.0299403420979456</v>
      </c>
      <c r="E13" s="12" t="n">
        <f aca="false">E12+C13</f>
        <v>2979.45</v>
      </c>
    </row>
    <row r="14" customFormat="false" ht="15" hidden="false" customHeight="false" outlineLevel="0" collapsed="false">
      <c r="A14" s="14" t="n">
        <v>46087</v>
      </c>
      <c r="B14" s="11" t="n">
        <f aca="false">COUNTIFS(Operaciones!$A$2:$A$446,"&gt;="&amp;A14,Operaciones!$A$2:$A$446,"&lt;"&amp;A14+1)</f>
        <v>5</v>
      </c>
      <c r="C14" s="12" t="n">
        <f aca="false">SUMIFS(Operaciones!$J$2:$J$446,Operaciones!$A$2:$A$446,"&gt;="&amp;A14,Operaciones!$A$2:$A$446,"&lt;"&amp;A14+1)</f>
        <v>349.89</v>
      </c>
      <c r="D14" s="13" t="n">
        <f aca="false">IFERROR(AVERAGEIFS(Operaciones!$K$2:$K$446,Operaciones!$A$2:$A$446,"&gt;="&amp;A14,Operaciones!$A$2:$A$446,"&lt;"&amp;A14+1),"")</f>
        <v>0.0266829405754138</v>
      </c>
      <c r="E14" s="12" t="n">
        <f aca="false">E13+C14</f>
        <v>3329.34</v>
      </c>
    </row>
    <row r="15" customFormat="false" ht="15" hidden="false" customHeight="false" outlineLevel="0" collapsed="false">
      <c r="A15" s="14" t="n">
        <v>46088</v>
      </c>
      <c r="B15" s="11" t="n">
        <f aca="false">COUNTIFS(Operaciones!$A$2:$A$446,"&gt;="&amp;A15,Operaciones!$A$2:$A$446,"&lt;"&amp;A15+1)</f>
        <v>15</v>
      </c>
      <c r="C15" s="12" t="n">
        <f aca="false">SUMIFS(Operaciones!$J$2:$J$446,Operaciones!$A$2:$A$446,"&gt;="&amp;A15,Operaciones!$A$2:$A$446,"&lt;"&amp;A15+1)</f>
        <v>785.44</v>
      </c>
      <c r="D15" s="13" t="n">
        <f aca="false">IFERROR(AVERAGEIFS(Operaciones!$K$2:$K$446,Operaciones!$A$2:$A$446,"&gt;="&amp;A15,Operaciones!$A$2:$A$446,"&lt;"&amp;A15+1),"")</f>
        <v>0.0197966219806997</v>
      </c>
      <c r="E15" s="12" t="n">
        <f aca="false">E14+C15</f>
        <v>4114.78</v>
      </c>
    </row>
    <row r="16" customFormat="false" ht="15" hidden="false" customHeight="false" outlineLevel="0" collapsed="false">
      <c r="A16" s="14" t="n">
        <v>46089</v>
      </c>
      <c r="B16" s="11" t="n">
        <f aca="false">COUNTIFS(Operaciones!$A$2:$A$446,"&gt;="&amp;A16,Operaciones!$A$2:$A$446,"&lt;"&amp;A16+1)</f>
        <v>2</v>
      </c>
      <c r="C16" s="12" t="n">
        <f aca="false">SUMIFS(Operaciones!$J$2:$J$446,Operaciones!$A$2:$A$446,"&gt;="&amp;A16,Operaciones!$A$2:$A$446,"&lt;"&amp;A16+1)</f>
        <v>66.53</v>
      </c>
      <c r="D16" s="13" t="n">
        <f aca="false">IFERROR(AVERAGEIFS(Operaciones!$K$2:$K$446,Operaciones!$A$2:$A$446,"&gt;="&amp;A16,Operaciones!$A$2:$A$446,"&lt;"&amp;A16+1),"")</f>
        <v>0.0115423394638667</v>
      </c>
      <c r="E16" s="12" t="n">
        <f aca="false">E15+C16</f>
        <v>4181.31</v>
      </c>
    </row>
    <row r="17" customFormat="false" ht="15" hidden="false" customHeight="false" outlineLevel="0" collapsed="false">
      <c r="A17" s="14" t="n">
        <v>46090</v>
      </c>
      <c r="B17" s="11" t="n">
        <f aca="false">COUNTIFS(Operaciones!$A$2:$A$446,"&gt;="&amp;A17,Operaciones!$A$2:$A$446,"&lt;"&amp;A17+1)</f>
        <v>5</v>
      </c>
      <c r="C17" s="12" t="n">
        <f aca="false">SUMIFS(Operaciones!$J$2:$J$446,Operaciones!$A$2:$A$446,"&gt;="&amp;A17,Operaciones!$A$2:$A$446,"&lt;"&amp;A17+1)</f>
        <v>165.25</v>
      </c>
      <c r="D17" s="13" t="n">
        <f aca="false">IFERROR(AVERAGEIFS(Operaciones!$K$2:$K$446,Operaciones!$A$2:$A$446,"&gt;="&amp;A17,Operaciones!$A$2:$A$446,"&lt;"&amp;A17+1),"")</f>
        <v>0.0124959247870556</v>
      </c>
      <c r="E17" s="12" t="n">
        <f aca="false">E16+C17</f>
        <v>4346.56</v>
      </c>
    </row>
    <row r="18" customFormat="false" ht="15" hidden="false" customHeight="false" outlineLevel="0" collapsed="false">
      <c r="A18" s="14" t="n">
        <v>46091</v>
      </c>
      <c r="B18" s="11" t="n">
        <f aca="false">COUNTIFS(Operaciones!$A$2:$A$446,"&gt;="&amp;A18,Operaciones!$A$2:$A$446,"&lt;"&amp;A18+1)</f>
        <v>7</v>
      </c>
      <c r="C18" s="12" t="n">
        <f aca="false">SUMIFS(Operaciones!$J$2:$J$446,Operaciones!$A$2:$A$446,"&gt;="&amp;A18,Operaciones!$A$2:$A$446,"&lt;"&amp;A18+1)</f>
        <v>116.4</v>
      </c>
      <c r="D18" s="13" t="n">
        <f aca="false">IFERROR(AVERAGEIFS(Operaciones!$K$2:$K$446,Operaciones!$A$2:$A$446,"&gt;="&amp;A18,Operaciones!$A$2:$A$446,"&lt;"&amp;A18+1),"")</f>
        <v>0.00545427786836727</v>
      </c>
      <c r="E18" s="12" t="n">
        <f aca="false">E17+C18</f>
        <v>4462.96</v>
      </c>
    </row>
    <row r="19" customFormat="false" ht="15" hidden="false" customHeight="false" outlineLevel="0" collapsed="false">
      <c r="A19" s="14" t="n">
        <v>46092</v>
      </c>
      <c r="B19" s="11" t="n">
        <f aca="false">COUNTIFS(Operaciones!$A$2:$A$446,"&gt;="&amp;A19,Operaciones!$A$2:$A$446,"&lt;"&amp;A19+1)</f>
        <v>11</v>
      </c>
      <c r="C19" s="12" t="n">
        <f aca="false">SUMIFS(Operaciones!$J$2:$J$446,Operaciones!$A$2:$A$446,"&gt;="&amp;A19,Operaciones!$A$2:$A$446,"&lt;"&amp;A19+1)</f>
        <v>491.41</v>
      </c>
      <c r="D19" s="13" t="n">
        <f aca="false">IFERROR(AVERAGEIFS(Operaciones!$K$2:$K$446,Operaciones!$A$2:$A$446,"&gt;="&amp;A19,Operaciones!$A$2:$A$446,"&lt;"&amp;A19+1),"")</f>
        <v>0.0217318453946927</v>
      </c>
      <c r="E19" s="12" t="n">
        <f aca="false">E18+C19</f>
        <v>4954.37</v>
      </c>
    </row>
    <row r="20" customFormat="false" ht="15" hidden="false" customHeight="false" outlineLevel="0" collapsed="false">
      <c r="A20" s="14" t="n">
        <v>46093</v>
      </c>
      <c r="B20" s="11" t="n">
        <f aca="false">COUNTIFS(Operaciones!$A$2:$A$446,"&gt;="&amp;A20,Operaciones!$A$2:$A$446,"&lt;"&amp;A20+1)</f>
        <v>10</v>
      </c>
      <c r="C20" s="12" t="n">
        <f aca="false">SUMIFS(Operaciones!$J$2:$J$446,Operaciones!$A$2:$A$446,"&gt;="&amp;A20,Operaciones!$A$2:$A$446,"&lt;"&amp;A20+1)</f>
        <v>65.46</v>
      </c>
      <c r="D20" s="13" t="n">
        <f aca="false">IFERROR(AVERAGEIFS(Operaciones!$K$2:$K$446,Operaciones!$A$2:$A$446,"&gt;="&amp;A20,Operaciones!$A$2:$A$446,"&lt;"&amp;A20+1),"")</f>
        <v>0.0042430374066546</v>
      </c>
      <c r="E20" s="12" t="n">
        <f aca="false">E19+C20</f>
        <v>5019.83</v>
      </c>
    </row>
    <row r="21" customFormat="false" ht="15" hidden="false" customHeight="false" outlineLevel="0" collapsed="false">
      <c r="A21" s="14" t="n">
        <v>46094</v>
      </c>
      <c r="B21" s="11" t="n">
        <f aca="false">COUNTIFS(Operaciones!$A$2:$A$446,"&gt;="&amp;A21,Operaciones!$A$2:$A$446,"&lt;"&amp;A21+1)</f>
        <v>5</v>
      </c>
      <c r="C21" s="12" t="n">
        <f aca="false">SUMIFS(Operaciones!$J$2:$J$446,Operaciones!$A$2:$A$446,"&gt;="&amp;A21,Operaciones!$A$2:$A$446,"&lt;"&amp;A21+1)</f>
        <v>-721.84</v>
      </c>
      <c r="D21" s="13" t="n">
        <f aca="false">IFERROR(AVERAGEIFS(Operaciones!$K$2:$K$446,Operaciones!$A$2:$A$446,"&gt;="&amp;A21,Operaciones!$A$2:$A$446,"&lt;"&amp;A21+1),"")</f>
        <v>-0.0300123826431959</v>
      </c>
      <c r="E21" s="12" t="n">
        <f aca="false">E20+C21</f>
        <v>4297.99</v>
      </c>
    </row>
    <row r="22" customFormat="false" ht="15" hidden="false" customHeight="false" outlineLevel="0" collapsed="false">
      <c r="A22" s="14" t="n">
        <v>46095</v>
      </c>
      <c r="B22" s="11" t="n">
        <f aca="false">COUNTIFS(Operaciones!$A$2:$A$446,"&gt;="&amp;A22,Operaciones!$A$2:$A$446,"&lt;"&amp;A22+1)</f>
        <v>6</v>
      </c>
      <c r="C22" s="12" t="n">
        <f aca="false">SUMIFS(Operaciones!$J$2:$J$446,Operaciones!$A$2:$A$446,"&gt;="&amp;A22,Operaciones!$A$2:$A$446,"&lt;"&amp;A22+1)</f>
        <v>476.65</v>
      </c>
      <c r="D22" s="13" t="n">
        <f aca="false">IFERROR(AVERAGEIFS(Operaciones!$K$2:$K$446,Operaciones!$A$2:$A$446,"&gt;="&amp;A22,Operaciones!$A$2:$A$446,"&lt;"&amp;A22+1),"")</f>
        <v>0.019830310682234</v>
      </c>
      <c r="E22" s="12" t="n">
        <f aca="false">E21+C22</f>
        <v>4774.64</v>
      </c>
    </row>
    <row r="23" customFormat="false" ht="15" hidden="false" customHeight="false" outlineLevel="0" collapsed="false">
      <c r="A23" s="14" t="n">
        <v>46096</v>
      </c>
      <c r="B23" s="11" t="n">
        <f aca="false">COUNTIFS(Operaciones!$A$2:$A$446,"&gt;="&amp;A23,Operaciones!$A$2:$A$446,"&lt;"&amp;A23+1)</f>
        <v>4</v>
      </c>
      <c r="C23" s="12" t="n">
        <f aca="false">SUMIFS(Operaciones!$J$2:$J$446,Operaciones!$A$2:$A$446,"&gt;="&amp;A23,Operaciones!$A$2:$A$446,"&lt;"&amp;A23+1)</f>
        <v>367.1</v>
      </c>
      <c r="D23" s="13" t="n">
        <f aca="false">IFERROR(AVERAGEIFS(Operaciones!$K$2:$K$446,Operaciones!$A$2:$A$446,"&gt;="&amp;A23,Operaciones!$A$2:$A$446,"&lt;"&amp;A23+1),"")</f>
        <v>0.0253388981106793</v>
      </c>
      <c r="E23" s="12" t="n">
        <f aca="false">E22+C23</f>
        <v>5141.74</v>
      </c>
    </row>
    <row r="24" customFormat="false" ht="15" hidden="false" customHeight="false" outlineLevel="0" collapsed="false">
      <c r="A24" s="14" t="n">
        <v>46097</v>
      </c>
      <c r="B24" s="11" t="n">
        <f aca="false">COUNTIFS(Operaciones!$A$2:$A$446,"&gt;="&amp;A24,Operaciones!$A$2:$A$446,"&lt;"&amp;A24+1)</f>
        <v>4</v>
      </c>
      <c r="C24" s="12" t="n">
        <f aca="false">SUMIFS(Operaciones!$J$2:$J$446,Operaciones!$A$2:$A$446,"&gt;="&amp;A24,Operaciones!$A$2:$A$446,"&lt;"&amp;A24+1)</f>
        <v>516.58</v>
      </c>
      <c r="D24" s="13" t="n">
        <f aca="false">IFERROR(AVERAGEIFS(Operaciones!$K$2:$K$446,Operaciones!$A$2:$A$446,"&gt;="&amp;A24,Operaciones!$A$2:$A$446,"&lt;"&amp;A24+1),"")</f>
        <v>0.0430486822595853</v>
      </c>
      <c r="E24" s="12" t="n">
        <f aca="false">E23+C24</f>
        <v>5658.32</v>
      </c>
    </row>
    <row r="25" customFormat="false" ht="15" hidden="false" customHeight="false" outlineLevel="0" collapsed="false">
      <c r="A25" s="14" t="n">
        <v>46098</v>
      </c>
      <c r="B25" s="11" t="n">
        <f aca="false">COUNTIFS(Operaciones!$A$2:$A$446,"&gt;="&amp;A25,Operaciones!$A$2:$A$446,"&lt;"&amp;A25+1)</f>
        <v>4</v>
      </c>
      <c r="C25" s="12" t="n">
        <f aca="false">SUMIFS(Operaciones!$J$2:$J$446,Operaciones!$A$2:$A$446,"&gt;="&amp;A25,Operaciones!$A$2:$A$446,"&lt;"&amp;A25+1)</f>
        <v>331.7</v>
      </c>
      <c r="D25" s="13" t="n">
        <f aca="false">IFERROR(AVERAGEIFS(Operaciones!$K$2:$K$446,Operaciones!$A$2:$A$446,"&gt;="&amp;A25,Operaciones!$A$2:$A$446,"&lt;"&amp;A25+1),"")</f>
        <v>0.0276416752555842</v>
      </c>
      <c r="E25" s="12" t="n">
        <f aca="false">E24+C25</f>
        <v>5990.02</v>
      </c>
    </row>
    <row r="26" customFormat="false" ht="15" hidden="false" customHeight="false" outlineLevel="0" collapsed="false">
      <c r="A26" s="14" t="n">
        <v>46099</v>
      </c>
      <c r="B26" s="11" t="n">
        <f aca="false">COUNTIFS(Operaciones!$A$2:$A$446,"&gt;="&amp;A26,Operaciones!$A$2:$A$446,"&lt;"&amp;A26+1)</f>
        <v>1</v>
      </c>
      <c r="C26" s="12" t="n">
        <f aca="false">SUMIFS(Operaciones!$J$2:$J$446,Operaciones!$A$2:$A$446,"&gt;="&amp;A26,Operaciones!$A$2:$A$446,"&lt;"&amp;A26+1)</f>
        <v>129.99</v>
      </c>
      <c r="D26" s="13" t="n">
        <f aca="false">IFERROR(AVERAGEIFS(Operaciones!$K$2:$K$446,Operaciones!$A$2:$A$446,"&gt;="&amp;A26,Operaciones!$A$2:$A$446,"&lt;"&amp;A26+1),"")</f>
        <v>0.04333</v>
      </c>
      <c r="E26" s="12" t="n">
        <f aca="false">E25+C26</f>
        <v>6120.01</v>
      </c>
    </row>
    <row r="27" customFormat="false" ht="15" hidden="false" customHeight="false" outlineLevel="0" collapsed="false">
      <c r="A27" s="14" t="n">
        <v>46101</v>
      </c>
      <c r="B27" s="11" t="n">
        <f aca="false">COUNTIFS(Operaciones!$A$2:$A$446,"&gt;="&amp;A27,Operaciones!$A$2:$A$446,"&lt;"&amp;A27+1)</f>
        <v>4</v>
      </c>
      <c r="C27" s="12" t="n">
        <f aca="false">SUMIFS(Operaciones!$J$2:$J$446,Operaciones!$A$2:$A$446,"&gt;="&amp;A27,Operaciones!$A$2:$A$446,"&lt;"&amp;A27+1)</f>
        <v>534.45</v>
      </c>
      <c r="D27" s="13" t="n">
        <f aca="false">IFERROR(AVERAGEIFS(Operaciones!$K$2:$K$446,Operaciones!$A$2:$A$446,"&gt;="&amp;A27,Operaciones!$A$2:$A$446,"&lt;"&amp;A27+1),"")</f>
        <v>0.0245547157886315</v>
      </c>
      <c r="E27" s="12" t="n">
        <f aca="false">E26+C27</f>
        <v>6654.46</v>
      </c>
    </row>
    <row r="28" customFormat="false" ht="15" hidden="false" customHeight="false" outlineLevel="0" collapsed="false">
      <c r="A28" s="14" t="n">
        <v>46102</v>
      </c>
      <c r="B28" s="11" t="n">
        <f aca="false">COUNTIFS(Operaciones!$A$2:$A$446,"&gt;="&amp;A28,Operaciones!$A$2:$A$446,"&lt;"&amp;A28+1)</f>
        <v>16</v>
      </c>
      <c r="C28" s="12" t="n">
        <f aca="false">SUMIFS(Operaciones!$J$2:$J$446,Operaciones!$A$2:$A$446,"&gt;="&amp;A28,Operaciones!$A$2:$A$446,"&lt;"&amp;A28+1)</f>
        <v>1047.27</v>
      </c>
      <c r="D28" s="13" t="n">
        <f aca="false">IFERROR(AVERAGEIFS(Operaciones!$K$2:$K$446,Operaciones!$A$2:$A$446,"&gt;="&amp;A28,Operaciones!$A$2:$A$446,"&lt;"&amp;A28+1),"")</f>
        <v>0.0134660614237229</v>
      </c>
      <c r="E28" s="12" t="n">
        <f aca="false">E27+C28</f>
        <v>7701.73</v>
      </c>
    </row>
    <row r="29" customFormat="false" ht="15" hidden="false" customHeight="false" outlineLevel="0" collapsed="false">
      <c r="A29" s="14" t="n">
        <v>46103</v>
      </c>
      <c r="B29" s="11" t="n">
        <f aca="false">COUNTIFS(Operaciones!$A$2:$A$446,"&gt;="&amp;A29,Operaciones!$A$2:$A$446,"&lt;"&amp;A29+1)</f>
        <v>5</v>
      </c>
      <c r="C29" s="12" t="n">
        <f aca="false">SUMIFS(Operaciones!$J$2:$J$446,Operaciones!$A$2:$A$446,"&gt;="&amp;A29,Operaciones!$A$2:$A$446,"&lt;"&amp;A29+1)</f>
        <v>-1915.11</v>
      </c>
      <c r="D29" s="13" t="n">
        <f aca="false">IFERROR(AVERAGEIFS(Operaciones!$K$2:$K$446,Operaciones!$A$2:$A$446,"&gt;="&amp;A29,Operaciones!$A$2:$A$446,"&lt;"&amp;A29+1),"")</f>
        <v>-0.0622908491395079</v>
      </c>
      <c r="E29" s="12" t="n">
        <f aca="false">E28+C29</f>
        <v>5786.62</v>
      </c>
    </row>
    <row r="30" customFormat="false" ht="15" hidden="false" customHeight="false" outlineLevel="0" collapsed="false">
      <c r="A30" s="14" t="n">
        <v>46104</v>
      </c>
      <c r="B30" s="11" t="n">
        <f aca="false">COUNTIFS(Operaciones!$A$2:$A$446,"&gt;="&amp;A30,Operaciones!$A$2:$A$446,"&lt;"&amp;A30+1)</f>
        <v>4</v>
      </c>
      <c r="C30" s="12" t="n">
        <f aca="false">SUMIFS(Operaciones!$J$2:$J$446,Operaciones!$A$2:$A$446,"&gt;="&amp;A30,Operaciones!$A$2:$A$446,"&lt;"&amp;A30+1)</f>
        <v>-5.50000000000001</v>
      </c>
      <c r="D30" s="13" t="n">
        <f aca="false">IFERROR(AVERAGEIFS(Operaciones!$K$2:$K$446,Operaciones!$A$2:$A$446,"&gt;="&amp;A30,Operaciones!$A$2:$A$446,"&lt;"&amp;A30+1),"")</f>
        <v>0.0050300134908475</v>
      </c>
      <c r="E30" s="12" t="n">
        <f aca="false">E29+C30</f>
        <v>5781.12</v>
      </c>
    </row>
    <row r="31" customFormat="false" ht="15" hidden="false" customHeight="false" outlineLevel="0" collapsed="false">
      <c r="A31" s="14" t="n">
        <v>46105</v>
      </c>
      <c r="B31" s="11" t="n">
        <f aca="false">COUNTIFS(Operaciones!$A$2:$A$446,"&gt;="&amp;A31,Operaciones!$A$2:$A$446,"&lt;"&amp;A31+1)</f>
        <v>14</v>
      </c>
      <c r="C31" s="12" t="n">
        <f aca="false">SUMIFS(Operaciones!$J$2:$J$446,Operaciones!$A$2:$A$446,"&gt;="&amp;A31,Operaciones!$A$2:$A$446,"&lt;"&amp;A31+1)</f>
        <v>-427.08</v>
      </c>
      <c r="D31" s="13" t="n">
        <f aca="false">IFERROR(AVERAGEIFS(Operaciones!$K$2:$K$446,Operaciones!$A$2:$A$446,"&gt;="&amp;A31,Operaciones!$A$2:$A$446,"&lt;"&amp;A31+1),"")</f>
        <v>0.000873082569426977</v>
      </c>
      <c r="E31" s="12" t="n">
        <f aca="false">E30+C31</f>
        <v>5354.04</v>
      </c>
    </row>
    <row r="32" customFormat="false" ht="15" hidden="false" customHeight="false" outlineLevel="0" collapsed="false">
      <c r="A32" s="14" t="n">
        <v>46106</v>
      </c>
      <c r="B32" s="11" t="n">
        <f aca="false">COUNTIFS(Operaciones!$A$2:$A$446,"&gt;="&amp;A32,Operaciones!$A$2:$A$446,"&lt;"&amp;A32+1)</f>
        <v>6</v>
      </c>
      <c r="C32" s="12" t="n">
        <f aca="false">SUMIFS(Operaciones!$J$2:$J$446,Operaciones!$A$2:$A$446,"&gt;="&amp;A32,Operaciones!$A$2:$A$446,"&lt;"&amp;A32+1)</f>
        <v>237.53</v>
      </c>
      <c r="D32" s="13" t="n">
        <f aca="false">IFERROR(AVERAGEIFS(Operaciones!$K$2:$K$446,Operaciones!$A$2:$A$446,"&gt;="&amp;A32,Operaciones!$A$2:$A$446,"&lt;"&amp;A32+1),"")</f>
        <v>0.0131961413593601</v>
      </c>
      <c r="E32" s="12" t="n">
        <f aca="false">E31+C32</f>
        <v>5591.57</v>
      </c>
    </row>
    <row r="33" customFormat="false" ht="15" hidden="false" customHeight="false" outlineLevel="0" collapsed="false">
      <c r="A33" s="14" t="n">
        <v>46107</v>
      </c>
      <c r="B33" s="11" t="n">
        <f aca="false">COUNTIFS(Operaciones!$A$2:$A$446,"&gt;="&amp;A33,Operaciones!$A$2:$A$446,"&lt;"&amp;A33+1)</f>
        <v>5</v>
      </c>
      <c r="C33" s="12" t="n">
        <f aca="false">SUMIFS(Operaciones!$J$2:$J$446,Operaciones!$A$2:$A$446,"&gt;="&amp;A33,Operaciones!$A$2:$A$446,"&lt;"&amp;A33+1)</f>
        <v>-1331.93</v>
      </c>
      <c r="D33" s="13" t="n">
        <f aca="false">IFERROR(AVERAGEIFS(Operaciones!$K$2:$K$446,Operaciones!$A$2:$A$446,"&gt;="&amp;A33,Operaciones!$A$2:$A$446,"&lt;"&amp;A33+1),"")</f>
        <v>-0.0652317158363767</v>
      </c>
      <c r="E33" s="12" t="n">
        <f aca="false">E32+C33</f>
        <v>4259.64</v>
      </c>
    </row>
    <row r="34" customFormat="false" ht="15" hidden="false" customHeight="false" outlineLevel="0" collapsed="false">
      <c r="A34" s="14" t="n">
        <v>46108</v>
      </c>
      <c r="B34" s="11" t="n">
        <f aca="false">COUNTIFS(Operaciones!$A$2:$A$446,"&gt;="&amp;A34,Operaciones!$A$2:$A$446,"&lt;"&amp;A34+1)</f>
        <v>4</v>
      </c>
      <c r="C34" s="12" t="n">
        <f aca="false">SUMIFS(Operaciones!$J$2:$J$446,Operaciones!$A$2:$A$446,"&gt;="&amp;A34,Operaciones!$A$2:$A$446,"&lt;"&amp;A34+1)</f>
        <v>-1775.07</v>
      </c>
      <c r="D34" s="13" t="n">
        <f aca="false">IFERROR(AVERAGEIFS(Operaciones!$K$2:$K$446,Operaciones!$A$2:$A$446,"&gt;="&amp;A34,Operaciones!$A$2:$A$446,"&lt;"&amp;A34+1),"")</f>
        <v>0.000572406239979624</v>
      </c>
      <c r="E34" s="12" t="n">
        <f aca="false">E33+C34</f>
        <v>2484.57</v>
      </c>
    </row>
    <row r="35" customFormat="false" ht="15" hidden="false" customHeight="false" outlineLevel="0" collapsed="false">
      <c r="A35" s="14" t="n">
        <v>46109</v>
      </c>
      <c r="B35" s="11" t="n">
        <f aca="false">COUNTIFS(Operaciones!$A$2:$A$446,"&gt;="&amp;A35,Operaciones!$A$2:$A$446,"&lt;"&amp;A35+1)</f>
        <v>1</v>
      </c>
      <c r="C35" s="12" t="n">
        <f aca="false">SUMIFS(Operaciones!$J$2:$J$446,Operaciones!$A$2:$A$446,"&gt;="&amp;A35,Operaciones!$A$2:$A$446,"&lt;"&amp;A35+1)</f>
        <v>-291.39</v>
      </c>
      <c r="D35" s="13" t="n">
        <f aca="false">IFERROR(AVERAGEIFS(Operaciones!$K$2:$K$446,Operaciones!$A$2:$A$446,"&gt;="&amp;A35,Operaciones!$A$2:$A$446,"&lt;"&amp;A35+1),"")</f>
        <v>-0.032377386164137</v>
      </c>
      <c r="E35" s="12" t="n">
        <f aca="false">E34+C35</f>
        <v>2193.18</v>
      </c>
    </row>
    <row r="36" customFormat="false" ht="15" hidden="false" customHeight="false" outlineLevel="0" collapsed="false">
      <c r="A36" s="14" t="n">
        <v>46110</v>
      </c>
      <c r="B36" s="11" t="n">
        <f aca="false">COUNTIFS(Operaciones!$A$2:$A$446,"&gt;="&amp;A36,Operaciones!$A$2:$A$446,"&lt;"&amp;A36+1)</f>
        <v>6</v>
      </c>
      <c r="C36" s="12" t="n">
        <f aca="false">SUMIFS(Operaciones!$J$2:$J$446,Operaciones!$A$2:$A$446,"&gt;="&amp;A36,Operaciones!$A$2:$A$446,"&lt;"&amp;A36+1)</f>
        <v>72.19</v>
      </c>
      <c r="D36" s="13" t="n">
        <f aca="false">IFERROR(AVERAGEIFS(Operaciones!$K$2:$K$446,Operaciones!$A$2:$A$446,"&gt;="&amp;A36,Operaciones!$A$2:$A$446,"&lt;"&amp;A36+1),"")</f>
        <v>0.0120322696053002</v>
      </c>
      <c r="E36" s="12" t="n">
        <f aca="false">E35+C36</f>
        <v>2265.37</v>
      </c>
    </row>
    <row r="37" customFormat="false" ht="15" hidden="false" customHeight="false" outlineLevel="0" collapsed="false">
      <c r="A37" s="14" t="n">
        <v>46111</v>
      </c>
      <c r="B37" s="11" t="n">
        <f aca="false">COUNTIFS(Operaciones!$A$2:$A$446,"&gt;="&amp;A37,Operaciones!$A$2:$A$446,"&lt;"&amp;A37+1)</f>
        <v>2</v>
      </c>
      <c r="C37" s="12" t="n">
        <f aca="false">SUMIFS(Operaciones!$J$2:$J$446,Operaciones!$A$2:$A$446,"&gt;="&amp;A37,Operaciones!$A$2:$A$446,"&lt;"&amp;A37+1)</f>
        <v>8.37</v>
      </c>
      <c r="D37" s="13" t="n">
        <f aca="false">IFERROR(AVERAGEIFS(Operaciones!$K$2:$K$446,Operaciones!$A$2:$A$446,"&gt;="&amp;A37,Operaciones!$A$2:$A$446,"&lt;"&amp;A37+1),"")</f>
        <v>0.004185</v>
      </c>
      <c r="E37" s="12" t="n">
        <f aca="false">E36+C37</f>
        <v>2273.74</v>
      </c>
    </row>
    <row r="38" customFormat="false" ht="15" hidden="false" customHeight="false" outlineLevel="0" collapsed="false">
      <c r="A38" s="14" t="n">
        <v>46112</v>
      </c>
      <c r="B38" s="11" t="n">
        <f aca="false">COUNTIFS(Operaciones!$A$2:$A$446,"&gt;="&amp;A38,Operaciones!$A$2:$A$446,"&lt;"&amp;A38+1)</f>
        <v>1</v>
      </c>
      <c r="C38" s="12" t="n">
        <f aca="false">SUMIFS(Operaciones!$J$2:$J$446,Operaciones!$A$2:$A$446,"&gt;="&amp;A38,Operaciones!$A$2:$A$446,"&lt;"&amp;A38+1)</f>
        <v>1.91</v>
      </c>
      <c r="D38" s="13" t="n">
        <f aca="false">IFERROR(AVERAGEIFS(Operaciones!$K$2:$K$446,Operaciones!$A$2:$A$446,"&gt;="&amp;A38,Operaciones!$A$2:$A$446,"&lt;"&amp;A38+1),"")</f>
        <v>0.00191930864693765</v>
      </c>
      <c r="E38" s="12" t="n">
        <f aca="false">E37+C38</f>
        <v>2275.65</v>
      </c>
    </row>
    <row r="39" customFormat="false" ht="15" hidden="false" customHeight="false" outlineLevel="0" collapsed="false">
      <c r="A39" s="14" t="n">
        <v>46113</v>
      </c>
      <c r="B39" s="11" t="n">
        <f aca="false">COUNTIFS(Operaciones!$A$2:$A$446,"&gt;="&amp;A39,Operaciones!$A$2:$A$446,"&lt;"&amp;A39+1)</f>
        <v>4</v>
      </c>
      <c r="C39" s="12" t="n">
        <f aca="false">SUMIFS(Operaciones!$J$2:$J$446,Operaciones!$A$2:$A$446,"&gt;="&amp;A39,Operaciones!$A$2:$A$446,"&lt;"&amp;A39+1)</f>
        <v>136.52</v>
      </c>
      <c r="D39" s="13" t="n">
        <f aca="false">IFERROR(AVERAGEIFS(Operaciones!$K$2:$K$446,Operaciones!$A$2:$A$446,"&gt;="&amp;A39,Operaciones!$A$2:$A$446,"&lt;"&amp;A39+1),"")</f>
        <v>0.0305800443515232</v>
      </c>
      <c r="E39" s="12" t="n">
        <f aca="false">E38+C39</f>
        <v>2412.17</v>
      </c>
    </row>
    <row r="40" customFormat="false" ht="15" hidden="false" customHeight="false" outlineLevel="0" collapsed="false">
      <c r="A40" s="14" t="n">
        <v>46114</v>
      </c>
      <c r="B40" s="11" t="n">
        <f aca="false">COUNTIFS(Operaciones!$A$2:$A$446,"&gt;="&amp;A40,Operaciones!$A$2:$A$446,"&lt;"&amp;A40+1)</f>
        <v>12</v>
      </c>
      <c r="C40" s="12" t="n">
        <f aca="false">SUMIFS(Operaciones!$J$2:$J$446,Operaciones!$A$2:$A$446,"&gt;="&amp;A40,Operaciones!$A$2:$A$446,"&lt;"&amp;A40+1)</f>
        <v>803.91</v>
      </c>
      <c r="D40" s="13" t="n">
        <f aca="false">IFERROR(AVERAGEIFS(Operaciones!$K$2:$K$446,Operaciones!$A$2:$A$446,"&gt;="&amp;A40,Operaciones!$A$2:$A$446,"&lt;"&amp;A40+1),"")</f>
        <v>0.0701669504878353</v>
      </c>
      <c r="E40" s="12" t="n">
        <f aca="false">E39+C40</f>
        <v>3216.08</v>
      </c>
    </row>
    <row r="41" customFormat="false" ht="15" hidden="false" customHeight="false" outlineLevel="0" collapsed="false">
      <c r="A41" s="14" t="n">
        <v>46115</v>
      </c>
      <c r="B41" s="11" t="n">
        <f aca="false">COUNTIFS(Operaciones!$A$2:$A$446,"&gt;="&amp;A41,Operaciones!$A$2:$A$446,"&lt;"&amp;A41+1)</f>
        <v>9</v>
      </c>
      <c r="C41" s="12" t="n">
        <f aca="false">SUMIFS(Operaciones!$J$2:$J$446,Operaciones!$A$2:$A$446,"&gt;="&amp;A41,Operaciones!$A$2:$A$446,"&lt;"&amp;A41+1)</f>
        <v>95.25</v>
      </c>
      <c r="D41" s="13" t="n">
        <f aca="false">IFERROR(AVERAGEIFS(Operaciones!$K$2:$K$446,Operaciones!$A$2:$A$446,"&gt;="&amp;A41,Operaciones!$A$2:$A$446,"&lt;"&amp;A41+1),"")</f>
        <v>0.00992986390851262</v>
      </c>
      <c r="E41" s="12" t="n">
        <f aca="false">E40+C41</f>
        <v>3311.33</v>
      </c>
    </row>
    <row r="42" customFormat="false" ht="15" hidden="false" customHeight="false" outlineLevel="0" collapsed="false">
      <c r="A42" s="14" t="n">
        <v>46116</v>
      </c>
      <c r="B42" s="11" t="n">
        <f aca="false">COUNTIFS(Operaciones!$A$2:$A$446,"&gt;="&amp;A42,Operaciones!$A$2:$A$446,"&lt;"&amp;A42+1)</f>
        <v>2</v>
      </c>
      <c r="C42" s="12" t="n">
        <f aca="false">SUMIFS(Operaciones!$J$2:$J$446,Operaciones!$A$2:$A$446,"&gt;="&amp;A42,Operaciones!$A$2:$A$446,"&lt;"&amp;A42+1)</f>
        <v>-1997.96</v>
      </c>
      <c r="D42" s="13" t="n">
        <f aca="false">IFERROR(AVERAGEIFS(Operaciones!$K$2:$K$446,Operaciones!$A$2:$A$446,"&gt;="&amp;A42,Operaciones!$A$2:$A$446,"&lt;"&amp;A42+1),"")</f>
        <v>-0.158105726828412</v>
      </c>
      <c r="E42" s="12" t="n">
        <f aca="false">E41+C42</f>
        <v>1313.37</v>
      </c>
    </row>
    <row r="43" customFormat="false" ht="15" hidden="false" customHeight="false" outlineLevel="0" collapsed="false">
      <c r="A43" s="14" t="n">
        <v>46117</v>
      </c>
      <c r="B43" s="11" t="n">
        <f aca="false">COUNTIFS(Operaciones!$A$2:$A$446,"&gt;="&amp;A43,Operaciones!$A$2:$A$446,"&lt;"&amp;A43+1)</f>
        <v>3</v>
      </c>
      <c r="C43" s="12" t="n">
        <f aca="false">SUMIFS(Operaciones!$J$2:$J$446,Operaciones!$A$2:$A$446,"&gt;="&amp;A43,Operaciones!$A$2:$A$446,"&lt;"&amp;A43+1)</f>
        <v>105.53</v>
      </c>
      <c r="D43" s="13" t="n">
        <f aca="false">IFERROR(AVERAGEIFS(Operaciones!$K$2:$K$446,Operaciones!$A$2:$A$446,"&gt;="&amp;A43,Operaciones!$A$2:$A$446,"&lt;"&amp;A43+1),"")</f>
        <v>0.0308622620793884</v>
      </c>
      <c r="E43" s="12" t="n">
        <f aca="false">E42+C43</f>
        <v>1418.9</v>
      </c>
    </row>
    <row r="44" customFormat="false" ht="15" hidden="false" customHeight="false" outlineLevel="0" collapsed="false">
      <c r="A44" s="14" t="n">
        <v>46118</v>
      </c>
      <c r="B44" s="11" t="n">
        <f aca="false">COUNTIFS(Operaciones!$A$2:$A$446,"&gt;="&amp;A44,Operaciones!$A$2:$A$446,"&lt;"&amp;A44+1)</f>
        <v>6</v>
      </c>
      <c r="C44" s="12" t="n">
        <f aca="false">SUMIFS(Operaciones!$J$2:$J$446,Operaciones!$A$2:$A$446,"&gt;="&amp;A44,Operaciones!$A$2:$A$446,"&lt;"&amp;A44+1)</f>
        <v>214.52</v>
      </c>
      <c r="D44" s="13" t="n">
        <f aca="false">IFERROR(AVERAGEIFS(Operaciones!$K$2:$K$446,Operaciones!$A$2:$A$446,"&gt;="&amp;A44,Operaciones!$A$2:$A$446,"&lt;"&amp;A44+1),"")</f>
        <v>0.0357546557962572</v>
      </c>
      <c r="E44" s="12" t="n">
        <f aca="false">E43+C44</f>
        <v>1633.42</v>
      </c>
    </row>
    <row r="45" customFormat="false" ht="15" hidden="false" customHeight="false" outlineLevel="0" collapsed="false">
      <c r="A45" s="14" t="n">
        <v>46119</v>
      </c>
      <c r="B45" s="11" t="n">
        <f aca="false">COUNTIFS(Operaciones!$A$2:$A$446,"&gt;="&amp;A45,Operaciones!$A$2:$A$446,"&lt;"&amp;A45+1)</f>
        <v>2</v>
      </c>
      <c r="C45" s="12" t="n">
        <f aca="false">SUMIFS(Operaciones!$J$2:$J$446,Operaciones!$A$2:$A$446,"&gt;="&amp;A45,Operaciones!$A$2:$A$446,"&lt;"&amp;A45+1)</f>
        <v>65.87</v>
      </c>
      <c r="D45" s="13" t="n">
        <f aca="false">IFERROR(AVERAGEIFS(Operaciones!$K$2:$K$446,Operaciones!$A$2:$A$446,"&gt;="&amp;A45,Operaciones!$A$2:$A$446,"&lt;"&amp;A45+1),"")</f>
        <v>0.0658797324440272</v>
      </c>
      <c r="E45" s="12" t="n">
        <f aca="false">E44+C45</f>
        <v>1699.29</v>
      </c>
    </row>
    <row r="46" customFormat="false" ht="15" hidden="false" customHeight="false" outlineLevel="0" collapsed="false">
      <c r="A46" s="14" t="n">
        <v>46120</v>
      </c>
      <c r="B46" s="11" t="n">
        <f aca="false">COUNTIFS(Operaciones!$A$2:$A$446,"&gt;="&amp;A46,Operaciones!$A$2:$A$446,"&lt;"&amp;A46+1)</f>
        <v>9</v>
      </c>
      <c r="C46" s="12" t="n">
        <f aca="false">SUMIFS(Operaciones!$J$2:$J$446,Operaciones!$A$2:$A$446,"&gt;="&amp;A46,Operaciones!$A$2:$A$446,"&lt;"&amp;A46+1)</f>
        <v>240.89</v>
      </c>
      <c r="D46" s="13" t="n">
        <f aca="false">IFERROR(AVERAGEIFS(Operaciones!$K$2:$K$446,Operaciones!$A$2:$A$446,"&gt;="&amp;A46,Operaciones!$A$2:$A$446,"&lt;"&amp;A46+1),"")</f>
        <v>0.0428835240659699</v>
      </c>
      <c r="E46" s="12" t="n">
        <f aca="false">E45+C46</f>
        <v>1940.18</v>
      </c>
    </row>
    <row r="47" customFormat="false" ht="15" hidden="false" customHeight="false" outlineLevel="0" collapsed="false">
      <c r="A47" s="14" t="n">
        <v>46121</v>
      </c>
      <c r="B47" s="11" t="n">
        <f aca="false">COUNTIFS(Operaciones!$A$2:$A$446,"&gt;="&amp;A47,Operaciones!$A$2:$A$446,"&lt;"&amp;A47+1)</f>
        <v>1</v>
      </c>
      <c r="C47" s="12" t="n">
        <f aca="false">SUMIFS(Operaciones!$J$2:$J$446,Operaciones!$A$2:$A$446,"&gt;="&amp;A47,Operaciones!$A$2:$A$446,"&lt;"&amp;A47+1)</f>
        <v>-0.65</v>
      </c>
      <c r="D47" s="13" t="n">
        <f aca="false">IFERROR(AVERAGEIFS(Operaciones!$K$2:$K$446,Operaciones!$A$2:$A$446,"&gt;="&amp;A47,Operaciones!$A$2:$A$446,"&lt;"&amp;A47+1),"")</f>
        <v>-0.00130005200208008</v>
      </c>
      <c r="E47" s="12" t="n">
        <f aca="false">E46+C47</f>
        <v>1939.53</v>
      </c>
    </row>
    <row r="48" customFormat="false" ht="15" hidden="false" customHeight="false" outlineLevel="0" collapsed="false">
      <c r="A48" s="14" t="n">
        <v>46122</v>
      </c>
      <c r="B48" s="11" t="n">
        <f aca="false">COUNTIFS(Operaciones!$A$2:$A$446,"&gt;="&amp;A48,Operaciones!$A$2:$A$446,"&lt;"&amp;A48+1)</f>
        <v>12</v>
      </c>
      <c r="C48" s="12" t="n">
        <f aca="false">SUMIFS(Operaciones!$J$2:$J$446,Operaciones!$A$2:$A$446,"&gt;="&amp;A48,Operaciones!$A$2:$A$446,"&lt;"&amp;A48+1)</f>
        <v>85.14</v>
      </c>
      <c r="D48" s="13" t="n">
        <f aca="false">IFERROR(AVERAGEIFS(Operaciones!$K$2:$K$446,Operaciones!$A$2:$A$446,"&gt;="&amp;A48,Operaciones!$A$2:$A$446,"&lt;"&amp;A48+1),"")</f>
        <v>0.00697833684488978</v>
      </c>
      <c r="E48" s="12" t="n">
        <f aca="false">E47+C48</f>
        <v>2024.67</v>
      </c>
    </row>
    <row r="49" customFormat="false" ht="15" hidden="false" customHeight="false" outlineLevel="0" collapsed="false">
      <c r="A49" s="14" t="n">
        <v>46123</v>
      </c>
      <c r="B49" s="11" t="n">
        <f aca="false">COUNTIFS(Operaciones!$A$2:$A$446,"&gt;="&amp;A49,Operaciones!$A$2:$A$446,"&lt;"&amp;A49+1)</f>
        <v>10</v>
      </c>
      <c r="C49" s="12" t="n">
        <f aca="false">SUMIFS(Operaciones!$J$2:$J$446,Operaciones!$A$2:$A$446,"&gt;="&amp;A49,Operaciones!$A$2:$A$446,"&lt;"&amp;A49+1)</f>
        <v>178.88</v>
      </c>
      <c r="D49" s="13" t="n">
        <f aca="false">IFERROR(AVERAGEIFS(Operaciones!$K$2:$K$446,Operaciones!$A$2:$A$446,"&gt;="&amp;A49,Operaciones!$A$2:$A$446,"&lt;"&amp;A49+1),"")</f>
        <v>0.0291660243553063</v>
      </c>
      <c r="E49" s="12" t="n">
        <f aca="false">E48+C49</f>
        <v>2203.55</v>
      </c>
    </row>
    <row r="50" customFormat="false" ht="15" hidden="false" customHeight="false" outlineLevel="0" collapsed="false">
      <c r="A50" s="14" t="n">
        <v>46124</v>
      </c>
      <c r="B50" s="11" t="n">
        <f aca="false">COUNTIFS(Operaciones!$A$2:$A$446,"&gt;="&amp;A50,Operaciones!$A$2:$A$446,"&lt;"&amp;A50+1)</f>
        <v>16</v>
      </c>
      <c r="C50" s="12" t="n">
        <f aca="false">SUMIFS(Operaciones!$J$2:$J$446,Operaciones!$A$2:$A$446,"&gt;="&amp;A50,Operaciones!$A$2:$A$446,"&lt;"&amp;A50+1)</f>
        <v>323.87</v>
      </c>
      <c r="D50" s="13" t="n">
        <f aca="false">IFERROR(AVERAGEIFS(Operaciones!$K$2:$K$446,Operaciones!$A$2:$A$446,"&gt;="&amp;A50,Operaciones!$A$2:$A$446,"&lt;"&amp;A50+1),"")</f>
        <v>-0.0499548636013282</v>
      </c>
      <c r="E50" s="12" t="n">
        <f aca="false">E49+C50</f>
        <v>2527.42</v>
      </c>
    </row>
    <row r="51" customFormat="false" ht="15" hidden="false" customHeight="false" outlineLevel="0" collapsed="false">
      <c r="A51" s="14" t="n">
        <v>46125</v>
      </c>
      <c r="B51" s="11" t="n">
        <f aca="false">COUNTIFS(Operaciones!$A$2:$A$446,"&gt;="&amp;A51,Operaciones!$A$2:$A$446,"&lt;"&amp;A51+1)</f>
        <v>5</v>
      </c>
      <c r="C51" s="12" t="n">
        <f aca="false">SUMIFS(Operaciones!$J$2:$J$446,Operaciones!$A$2:$A$446,"&gt;="&amp;A51,Operaciones!$A$2:$A$446,"&lt;"&amp;A51+1)</f>
        <v>112.01</v>
      </c>
      <c r="D51" s="13" t="n">
        <f aca="false">IFERROR(AVERAGEIFS(Operaciones!$K$2:$K$446,Operaciones!$A$2:$A$446,"&gt;="&amp;A51,Operaciones!$A$2:$A$446,"&lt;"&amp;A51+1),"")</f>
        <v>0.0197453529606279</v>
      </c>
      <c r="E51" s="12" t="n">
        <f aca="false">E50+C51</f>
        <v>2639.43</v>
      </c>
    </row>
    <row r="52" customFormat="false" ht="15" hidden="false" customHeight="false" outlineLevel="0" collapsed="false">
      <c r="A52" s="14" t="n">
        <v>46126</v>
      </c>
      <c r="B52" s="11" t="n">
        <f aca="false">COUNTIFS(Operaciones!$A$2:$A$446,"&gt;="&amp;A52,Operaciones!$A$2:$A$446,"&lt;"&amp;A52+1)</f>
        <v>3</v>
      </c>
      <c r="C52" s="12" t="n">
        <f aca="false">SUMIFS(Operaciones!$J$2:$J$446,Operaciones!$A$2:$A$446,"&gt;="&amp;A52,Operaciones!$A$2:$A$446,"&lt;"&amp;A52+1)</f>
        <v>113.97</v>
      </c>
      <c r="D52" s="13" t="n">
        <f aca="false">IFERROR(AVERAGEIFS(Operaciones!$K$2:$K$446,Operaciones!$A$2:$A$446,"&gt;="&amp;A52,Operaciones!$A$2:$A$446,"&lt;"&amp;A52+1),"")</f>
        <v>0.0260572298111611</v>
      </c>
      <c r="E52" s="12" t="n">
        <f aca="false">E51+C52</f>
        <v>2753.4</v>
      </c>
    </row>
    <row r="53" customFormat="false" ht="15" hidden="false" customHeight="false" outlineLevel="0" collapsed="false">
      <c r="A53" s="14" t="n">
        <v>46127</v>
      </c>
      <c r="B53" s="11" t="n">
        <f aca="false">COUNTIFS(Operaciones!$A$2:$A$446,"&gt;="&amp;A53,Operaciones!$A$2:$A$446,"&lt;"&amp;A53+1)</f>
        <v>3</v>
      </c>
      <c r="C53" s="12" t="n">
        <f aca="false">SUMIFS(Operaciones!$J$2:$J$446,Operaciones!$A$2:$A$446,"&gt;="&amp;A53,Operaciones!$A$2:$A$446,"&lt;"&amp;A53+1)</f>
        <v>154.35</v>
      </c>
      <c r="D53" s="13" t="n">
        <f aca="false">IFERROR(AVERAGEIFS(Operaciones!$K$2:$K$446,Operaciones!$A$2:$A$446,"&gt;="&amp;A53,Operaciones!$A$2:$A$446,"&lt;"&amp;A53+1),"")</f>
        <v>0.0411104130965151</v>
      </c>
      <c r="E53" s="12" t="n">
        <f aca="false">E52+C53</f>
        <v>2907.75</v>
      </c>
    </row>
    <row r="54" customFormat="false" ht="15" hidden="false" customHeight="false" outlineLevel="0" collapsed="false">
      <c r="A54" s="14" t="n">
        <v>46130</v>
      </c>
      <c r="B54" s="11" t="n">
        <f aca="false">COUNTIFS(Operaciones!$A$2:$A$446,"&gt;="&amp;A54,Operaciones!$A$2:$A$446,"&lt;"&amp;A54+1)</f>
        <v>3</v>
      </c>
      <c r="C54" s="12" t="n">
        <f aca="false">SUMIFS(Operaciones!$J$2:$J$446,Operaciones!$A$2:$A$446,"&gt;="&amp;A54,Operaciones!$A$2:$A$446,"&lt;"&amp;A54+1)</f>
        <v>172.4</v>
      </c>
      <c r="D54" s="13" t="n">
        <f aca="false">IFERROR(AVERAGEIFS(Operaciones!$K$2:$K$446,Operaciones!$A$2:$A$446,"&gt;="&amp;A54,Operaciones!$A$2:$A$446,"&lt;"&amp;A54+1),"")</f>
        <v>0.0456039672641616</v>
      </c>
      <c r="E54" s="12" t="n">
        <f aca="false">E53+C54</f>
        <v>3080.15</v>
      </c>
    </row>
    <row r="55" customFormat="false" ht="15" hidden="false" customHeight="false" outlineLevel="0" collapsed="false">
      <c r="A55" s="14" t="n">
        <v>46131</v>
      </c>
      <c r="B55" s="11" t="n">
        <f aca="false">COUNTIFS(Operaciones!$A$2:$A$446,"&gt;="&amp;A55,Operaciones!$A$2:$A$446,"&lt;"&amp;A55+1)</f>
        <v>1</v>
      </c>
      <c r="C55" s="12" t="n">
        <f aca="false">SUMIFS(Operaciones!$J$2:$J$446,Operaciones!$A$2:$A$446,"&gt;="&amp;A55,Operaciones!$A$2:$A$446,"&lt;"&amp;A55+1)</f>
        <v>48.89</v>
      </c>
      <c r="D55" s="13" t="n">
        <f aca="false">IFERROR(AVERAGEIFS(Operaciones!$K$2:$K$446,Operaciones!$A$2:$A$446,"&gt;="&amp;A55,Operaciones!$A$2:$A$446,"&lt;"&amp;A55+1),"")</f>
        <v>0.09778</v>
      </c>
      <c r="E55" s="12" t="n">
        <f aca="false">E54+C55</f>
        <v>3129.04</v>
      </c>
    </row>
    <row r="56" customFormat="false" ht="15" hidden="false" customHeight="false" outlineLevel="0" collapsed="false">
      <c r="A56" s="14" t="n">
        <v>46132</v>
      </c>
      <c r="B56" s="11" t="n">
        <f aca="false">COUNTIFS(Operaciones!$A$2:$A$446,"&gt;="&amp;A56,Operaciones!$A$2:$A$446,"&lt;"&amp;A56+1)</f>
        <v>1</v>
      </c>
      <c r="C56" s="12" t="n">
        <f aca="false">SUMIFS(Operaciones!$J$2:$J$446,Operaciones!$A$2:$A$446,"&gt;="&amp;A56,Operaciones!$A$2:$A$446,"&lt;"&amp;A56+1)</f>
        <v>-0.31</v>
      </c>
      <c r="D56" s="13" t="n">
        <f aca="false">IFERROR(AVERAGEIFS(Operaciones!$K$2:$K$446,Operaciones!$A$2:$A$446,"&gt;="&amp;A56,Operaciones!$A$2:$A$446,"&lt;"&amp;A56+1),"")</f>
        <v>-0.00310093027908373</v>
      </c>
      <c r="E56" s="12" t="n">
        <f aca="false">E55+C56</f>
        <v>3128.73</v>
      </c>
    </row>
    <row r="57" customFormat="false" ht="15" hidden="false" customHeight="false" outlineLevel="0" collapsed="false">
      <c r="A57" s="14" t="n">
        <v>46134</v>
      </c>
      <c r="B57" s="11" t="n">
        <f aca="false">COUNTIFS(Operaciones!$A$2:$A$446,"&gt;="&amp;A57,Operaciones!$A$2:$A$446,"&lt;"&amp;A57+1)</f>
        <v>1</v>
      </c>
      <c r="C57" s="12" t="n">
        <f aca="false">SUMIFS(Operaciones!$J$2:$J$446,Operaciones!$A$2:$A$446,"&gt;="&amp;A57,Operaciones!$A$2:$A$446,"&lt;"&amp;A57+1)</f>
        <v>207.19</v>
      </c>
      <c r="D57" s="13" t="n">
        <f aca="false">IFERROR(AVERAGEIFS(Operaciones!$K$2:$K$446,Operaciones!$A$2:$A$446,"&gt;="&amp;A57,Operaciones!$A$2:$A$446,"&lt;"&amp;A57+1),"")</f>
        <v>0.104655156737753</v>
      </c>
      <c r="E57" s="12" t="n">
        <f aca="false">E56+C57</f>
        <v>3335.92</v>
      </c>
    </row>
    <row r="58" customFormat="false" ht="15" hidden="false" customHeight="false" outlineLevel="0" collapsed="false">
      <c r="A58" s="14" t="n">
        <v>46135</v>
      </c>
      <c r="B58" s="11" t="n">
        <f aca="false">COUNTIFS(Operaciones!$A$2:$A$446,"&gt;="&amp;A58,Operaciones!$A$2:$A$446,"&lt;"&amp;A58+1)</f>
        <v>1</v>
      </c>
      <c r="C58" s="12" t="n">
        <f aca="false">SUMIFS(Operaciones!$J$2:$J$446,Operaciones!$A$2:$A$446,"&gt;="&amp;A58,Operaciones!$A$2:$A$446,"&lt;"&amp;A58+1)</f>
        <v>40.05</v>
      </c>
      <c r="D58" s="13" t="n">
        <f aca="false">IFERROR(AVERAGEIFS(Operaciones!$K$2:$K$446,Operaciones!$A$2:$A$446,"&gt;="&amp;A58,Operaciones!$A$2:$A$446,"&lt;"&amp;A58+1),"")</f>
        <v>0.0801048062883773</v>
      </c>
      <c r="E58" s="12" t="n">
        <f aca="false">E57+C58</f>
        <v>3375.97</v>
      </c>
    </row>
    <row r="59" customFormat="false" ht="15" hidden="false" customHeight="false" outlineLevel="0" collapsed="false">
      <c r="A59" s="14" t="n">
        <v>46136</v>
      </c>
      <c r="B59" s="11" t="n">
        <f aca="false">COUNTIFS(Operaciones!$A$2:$A$446,"&gt;="&amp;A59,Operaciones!$A$2:$A$446,"&lt;"&amp;A59+1)</f>
        <v>5</v>
      </c>
      <c r="C59" s="12" t="n">
        <f aca="false">SUMIFS(Operaciones!$J$2:$J$446,Operaciones!$A$2:$A$446,"&gt;="&amp;A59,Operaciones!$A$2:$A$446,"&lt;"&amp;A59+1)</f>
        <v>260.64</v>
      </c>
      <c r="D59" s="13" t="n">
        <f aca="false">IFERROR(AVERAGEIFS(Operaciones!$K$2:$K$446,Operaciones!$A$2:$A$446,"&gt;="&amp;A59,Operaciones!$A$2:$A$446,"&lt;"&amp;A59+1),"")</f>
        <v>0.0521322316900989</v>
      </c>
      <c r="E59" s="12" t="n">
        <f aca="false">E58+C59</f>
        <v>3636.61</v>
      </c>
    </row>
    <row r="60" customFormat="false" ht="15" hidden="false" customHeight="false" outlineLevel="0" collapsed="false">
      <c r="A60" s="14" t="n">
        <v>46137</v>
      </c>
      <c r="B60" s="11" t="n">
        <f aca="false">COUNTIFS(Operaciones!$A$2:$A$446,"&gt;="&amp;A60,Operaciones!$A$2:$A$446,"&lt;"&amp;A60+1)</f>
        <v>15</v>
      </c>
      <c r="C60" s="12" t="n">
        <f aca="false">SUMIFS(Operaciones!$J$2:$J$446,Operaciones!$A$2:$A$446,"&gt;="&amp;A60,Operaciones!$A$2:$A$446,"&lt;"&amp;A60+1)</f>
        <v>927.84</v>
      </c>
      <c r="D60" s="13" t="n">
        <f aca="false">IFERROR(AVERAGEIFS(Operaciones!$K$2:$K$446,Operaciones!$A$2:$A$446,"&gt;="&amp;A60,Operaciones!$A$2:$A$446,"&lt;"&amp;A60+1),"")</f>
        <v>0.0231447578902049</v>
      </c>
      <c r="E60" s="12" t="n">
        <f aca="false">E59+C60</f>
        <v>4564.45</v>
      </c>
    </row>
    <row r="61" customFormat="false" ht="15" hidden="false" customHeight="false" outlineLevel="0" collapsed="false">
      <c r="A61" s="14" t="n">
        <v>46138</v>
      </c>
      <c r="B61" s="11" t="n">
        <f aca="false">COUNTIFS(Operaciones!$A$2:$A$446,"&gt;="&amp;A61,Operaciones!$A$2:$A$446,"&lt;"&amp;A61+1)</f>
        <v>5</v>
      </c>
      <c r="C61" s="12" t="n">
        <f aca="false">SUMIFS(Operaciones!$J$2:$J$446,Operaciones!$A$2:$A$446,"&gt;="&amp;A61,Operaciones!$A$2:$A$446,"&lt;"&amp;A61+1)</f>
        <v>259.36</v>
      </c>
      <c r="D61" s="13" t="n">
        <f aca="false">IFERROR(AVERAGEIFS(Operaciones!$K$2:$K$446,Operaciones!$A$2:$A$446,"&gt;="&amp;A61,Operaciones!$A$2:$A$446,"&lt;"&amp;A61+1),"")</f>
        <v>0.029918616517067</v>
      </c>
      <c r="E61" s="12" t="n">
        <f aca="false">E60+C61</f>
        <v>4823.81</v>
      </c>
    </row>
    <row r="62" customFormat="false" ht="15" hidden="false" customHeight="false" outlineLevel="0" collapsed="false">
      <c r="A62" s="14" t="n">
        <v>46139</v>
      </c>
      <c r="B62" s="11" t="n">
        <f aca="false">COUNTIFS(Operaciones!$A$2:$A$446,"&gt;="&amp;A62,Operaciones!$A$2:$A$446,"&lt;"&amp;A62+1)</f>
        <v>6</v>
      </c>
      <c r="C62" s="12" t="n">
        <f aca="false">SUMIFS(Operaciones!$J$2:$J$446,Operaciones!$A$2:$A$446,"&gt;="&amp;A62,Operaciones!$A$2:$A$446,"&lt;"&amp;A62+1)</f>
        <v>-1299.33</v>
      </c>
      <c r="D62" s="13" t="n">
        <f aca="false">IFERROR(AVERAGEIFS(Operaciones!$K$2:$K$446,Operaciones!$A$2:$A$446,"&gt;="&amp;A62,Operaciones!$A$2:$A$446,"&lt;"&amp;A62+1),"")</f>
        <v>-0.108276790229909</v>
      </c>
      <c r="E62" s="12" t="n">
        <f aca="false">E61+C62</f>
        <v>3524.48</v>
      </c>
    </row>
    <row r="63" customFormat="false" ht="15" hidden="false" customHeight="false" outlineLevel="0" collapsed="false">
      <c r="A63" s="14" t="n">
        <v>46140</v>
      </c>
      <c r="B63" s="11" t="n">
        <f aca="false">COUNTIFS(Operaciones!$A$2:$A$446,"&gt;="&amp;A63,Operaciones!$A$2:$A$446,"&lt;"&amp;A63+1)</f>
        <v>1</v>
      </c>
      <c r="C63" s="12" t="n">
        <f aca="false">SUMIFS(Operaciones!$J$2:$J$446,Operaciones!$A$2:$A$446,"&gt;="&amp;A63,Operaciones!$A$2:$A$446,"&lt;"&amp;A63+1)</f>
        <v>102.76</v>
      </c>
      <c r="D63" s="13" t="n">
        <f aca="false">IFERROR(AVERAGEIFS(Operaciones!$K$2:$K$446,Operaciones!$A$2:$A$446,"&gt;="&amp;A63,Operaciones!$A$2:$A$446,"&lt;"&amp;A63+1),"")</f>
        <v>0.0513825691284564</v>
      </c>
      <c r="E63" s="12" t="n">
        <f aca="false">E62+C63</f>
        <v>3627.24</v>
      </c>
    </row>
    <row r="64" customFormat="false" ht="15" hidden="false" customHeight="false" outlineLevel="0" collapsed="false">
      <c r="A64" s="14" t="n">
        <v>46141</v>
      </c>
      <c r="B64" s="11" t="n">
        <f aca="false">COUNTIFS(Operaciones!$A$2:$A$446,"&gt;="&amp;A64,Operaciones!$A$2:$A$446,"&lt;"&amp;A64+1)</f>
        <v>7</v>
      </c>
      <c r="C64" s="12" t="n">
        <f aca="false">SUMIFS(Operaciones!$J$2:$J$446,Operaciones!$A$2:$A$446,"&gt;="&amp;A64,Operaciones!$A$2:$A$446,"&lt;"&amp;A64+1)</f>
        <v>-331.14</v>
      </c>
      <c r="D64" s="13" t="n">
        <f aca="false">IFERROR(AVERAGEIFS(Operaciones!$K$2:$K$446,Operaciones!$A$2:$A$446,"&gt;="&amp;A64,Operaciones!$A$2:$A$446,"&lt;"&amp;A64+1),"")</f>
        <v>-0.0211102931362521</v>
      </c>
      <c r="E64" s="12" t="n">
        <f aca="false">E63+C64</f>
        <v>3296.1</v>
      </c>
    </row>
    <row r="65" customFormat="false" ht="15" hidden="false" customHeight="false" outlineLevel="0" collapsed="false">
      <c r="A65" s="14" t="n">
        <v>46142</v>
      </c>
      <c r="B65" s="11" t="n">
        <f aca="false">COUNTIFS(Operaciones!$A$2:$A$446,"&gt;="&amp;A65,Operaciones!$A$2:$A$446,"&lt;"&amp;A65+1)</f>
        <v>1</v>
      </c>
      <c r="C65" s="12" t="n">
        <f aca="false">SUMIFS(Operaciones!$J$2:$J$446,Operaciones!$A$2:$A$446,"&gt;="&amp;A65,Operaciones!$A$2:$A$446,"&lt;"&amp;A65+1)</f>
        <v>5.25</v>
      </c>
      <c r="D65" s="13" t="n">
        <f aca="false">IFERROR(AVERAGEIFS(Operaciones!$K$2:$K$446,Operaciones!$A$2:$A$446,"&gt;="&amp;A65,Operaciones!$A$2:$A$446,"&lt;"&amp;A65+1),"")</f>
        <v>0.00364090294393009</v>
      </c>
      <c r="E65" s="12" t="n">
        <f aca="false">E64+C65</f>
        <v>3301.35</v>
      </c>
    </row>
    <row r="66" customFormat="false" ht="15" hidden="false" customHeight="false" outlineLevel="0" collapsed="false">
      <c r="A66" s="14" t="n">
        <v>46143</v>
      </c>
      <c r="B66" s="11" t="n">
        <f aca="false">COUNTIFS(Operaciones!$A$2:$A$446,"&gt;="&amp;A66,Operaciones!$A$2:$A$446,"&lt;"&amp;A66+1)</f>
        <v>3</v>
      </c>
      <c r="C66" s="12" t="n">
        <f aca="false">SUMIFS(Operaciones!$J$2:$J$446,Operaciones!$A$2:$A$446,"&gt;="&amp;A66,Operaciones!$A$2:$A$446,"&lt;"&amp;A66+1)</f>
        <v>-130.59</v>
      </c>
      <c r="D66" s="13" t="n">
        <f aca="false">IFERROR(AVERAGEIFS(Operaciones!$K$2:$K$446,Operaciones!$A$2:$A$446,"&gt;="&amp;A66,Operaciones!$A$2:$A$446,"&lt;"&amp;A66+1),"")</f>
        <v>-0.00833612565371798</v>
      </c>
      <c r="E66" s="12" t="n">
        <f aca="false">E65+C66</f>
        <v>3170.76</v>
      </c>
    </row>
    <row r="67" customFormat="false" ht="15" hidden="false" customHeight="false" outlineLevel="0" collapsed="false">
      <c r="A67" s="14" t="n">
        <v>46146</v>
      </c>
      <c r="B67" s="11" t="n">
        <f aca="false">COUNTIFS(Operaciones!$A$2:$A$446,"&gt;="&amp;A67,Operaciones!$A$2:$A$446,"&lt;"&amp;A67+1)</f>
        <v>2</v>
      </c>
      <c r="C67" s="12" t="n">
        <f aca="false">SUMIFS(Operaciones!$J$2:$J$446,Operaciones!$A$2:$A$446,"&gt;="&amp;A67,Operaciones!$A$2:$A$446,"&lt;"&amp;A67+1)</f>
        <v>-1.45</v>
      </c>
      <c r="D67" s="13" t="n">
        <f aca="false">IFERROR(AVERAGEIFS(Operaciones!$K$2:$K$446,Operaciones!$A$2:$A$446,"&gt;="&amp;A67,Operaciones!$A$2:$A$446,"&lt;"&amp;A67+1),"")</f>
        <v>-5.49966936977613E-005</v>
      </c>
      <c r="E67" s="12" t="n">
        <f aca="false">E66+C67</f>
        <v>3169.31</v>
      </c>
    </row>
    <row r="68" customFormat="false" ht="15" hidden="false" customHeight="false" outlineLevel="0" collapsed="false">
      <c r="A68" s="14" t="n">
        <v>46147</v>
      </c>
      <c r="B68" s="11" t="n">
        <f aca="false">COUNTIFS(Operaciones!$A$2:$A$446,"&gt;="&amp;A68,Operaciones!$A$2:$A$446,"&lt;"&amp;A68+1)</f>
        <v>1</v>
      </c>
      <c r="C68" s="12" t="n">
        <f aca="false">SUMIFS(Operaciones!$J$2:$J$446,Operaciones!$A$2:$A$446,"&gt;="&amp;A68,Operaciones!$A$2:$A$446,"&lt;"&amp;A68+1)</f>
        <v>-18.82</v>
      </c>
      <c r="D68" s="13" t="n">
        <f aca="false">IFERROR(AVERAGEIFS(Operaciones!$K$2:$K$446,Operaciones!$A$2:$A$446,"&gt;="&amp;A68,Operaciones!$A$2:$A$446,"&lt;"&amp;A68+1),"")</f>
        <v>-0.0094102352558814</v>
      </c>
      <c r="E68" s="12" t="n">
        <f aca="false">E67+C68</f>
        <v>3150.49</v>
      </c>
    </row>
    <row r="69" customFormat="false" ht="15" hidden="false" customHeight="false" outlineLevel="0" collapsed="false">
      <c r="A69" s="14" t="n">
        <v>46148</v>
      </c>
      <c r="B69" s="11" t="n">
        <f aca="false">COUNTIFS(Operaciones!$A$2:$A$446,"&gt;="&amp;A69,Operaciones!$A$2:$A$446,"&lt;"&amp;A69+1)</f>
        <v>1</v>
      </c>
      <c r="C69" s="12" t="n">
        <f aca="false">SUMIFS(Operaciones!$J$2:$J$446,Operaciones!$A$2:$A$446,"&gt;="&amp;A69,Operaciones!$A$2:$A$446,"&lt;"&amp;A69+1)</f>
        <v>18.45</v>
      </c>
      <c r="D69" s="13" t="n">
        <f aca="false">IFERROR(AVERAGEIFS(Operaciones!$K$2:$K$446,Operaciones!$A$2:$A$446,"&gt;="&amp;A69,Operaciones!$A$2:$A$446,"&lt;"&amp;A69+1),"")</f>
        <v>0.00922536901476059</v>
      </c>
      <c r="E69" s="12" t="n">
        <f aca="false">E68+C69</f>
        <v>3168.94</v>
      </c>
    </row>
    <row r="70" customFormat="false" ht="15" hidden="false" customHeight="false" outlineLevel="0" collapsed="false">
      <c r="A70" s="14" t="n">
        <v>46149</v>
      </c>
      <c r="B70" s="11" t="n">
        <f aca="false">COUNTIFS(Operaciones!$A$2:$A$446,"&gt;="&amp;A70,Operaciones!$A$2:$A$446,"&lt;"&amp;A70+1)</f>
        <v>2</v>
      </c>
      <c r="C70" s="12" t="n">
        <f aca="false">SUMIFS(Operaciones!$J$2:$J$446,Operaciones!$A$2:$A$446,"&gt;="&amp;A70,Operaciones!$A$2:$A$446,"&lt;"&amp;A70+1)</f>
        <v>96.3</v>
      </c>
      <c r="D70" s="13" t="n">
        <f aca="false">IFERROR(AVERAGEIFS(Operaciones!$K$2:$K$446,Operaciones!$A$2:$A$446,"&gt;="&amp;A70,Operaciones!$A$2:$A$446,"&lt;"&amp;A70+1),"")</f>
        <v>0.0266573020302287</v>
      </c>
      <c r="E70" s="12" t="n">
        <f aca="false">E69+C70</f>
        <v>3265.24</v>
      </c>
    </row>
    <row r="71" customFormat="false" ht="15" hidden="false" customHeight="false" outlineLevel="0" collapsed="false">
      <c r="A71" s="14" t="n">
        <v>46151</v>
      </c>
      <c r="B71" s="11" t="n">
        <f aca="false">COUNTIFS(Operaciones!$A$2:$A$446,"&gt;="&amp;A71,Operaciones!$A$2:$A$446,"&lt;"&amp;A71+1)</f>
        <v>1</v>
      </c>
      <c r="C71" s="12" t="n">
        <f aca="false">SUMIFS(Operaciones!$J$2:$J$446,Operaciones!$A$2:$A$446,"&gt;="&amp;A71,Operaciones!$A$2:$A$446,"&lt;"&amp;A71+1)</f>
        <v>82.26</v>
      </c>
      <c r="D71" s="13" t="n">
        <f aca="false">IFERROR(AVERAGEIFS(Operaciones!$K$2:$K$446,Operaciones!$A$2:$A$446,"&gt;="&amp;A71,Operaciones!$A$2:$A$446,"&lt;"&amp;A71+1),"")</f>
        <v>0.041130411304113</v>
      </c>
      <c r="E71" s="12" t="n">
        <f aca="false">E70+C71</f>
        <v>3347.5</v>
      </c>
    </row>
    <row r="72" customFormat="false" ht="15" hidden="false" customHeight="false" outlineLevel="0" collapsed="false">
      <c r="A72" s="14" t="n">
        <v>46152</v>
      </c>
      <c r="B72" s="11" t="n">
        <f aca="false">COUNTIFS(Operaciones!$A$2:$A$446,"&gt;="&amp;A72,Operaciones!$A$2:$A$446,"&lt;"&amp;A72+1)</f>
        <v>1</v>
      </c>
      <c r="C72" s="12" t="n">
        <f aca="false">SUMIFS(Operaciones!$J$2:$J$446,Operaciones!$A$2:$A$446,"&gt;="&amp;A72,Operaciones!$A$2:$A$446,"&lt;"&amp;A72+1)</f>
        <v>-56.11</v>
      </c>
      <c r="D72" s="13" t="n">
        <f aca="false">IFERROR(AVERAGEIFS(Operaciones!$K$2:$K$446,Operaciones!$A$2:$A$446,"&gt;="&amp;A72,Operaciones!$A$2:$A$446,"&lt;"&amp;A72+1),"")</f>
        <v>-0.05611</v>
      </c>
      <c r="E72" s="12" t="n">
        <f aca="false">E71+C72</f>
        <v>3291.39</v>
      </c>
    </row>
    <row r="73" customFormat="false" ht="15" hidden="false" customHeight="false" outlineLevel="0" collapsed="false">
      <c r="A73" s="14" t="n">
        <v>46154</v>
      </c>
      <c r="B73" s="11" t="n">
        <f aca="false">COUNTIFS(Operaciones!$A$2:$A$446,"&gt;="&amp;A73,Operaciones!$A$2:$A$446,"&lt;"&amp;A73+1)</f>
        <v>4</v>
      </c>
      <c r="C73" s="12" t="n">
        <f aca="false">SUMIFS(Operaciones!$J$2:$J$446,Operaciones!$A$2:$A$446,"&gt;="&amp;A73,Operaciones!$A$2:$A$446,"&lt;"&amp;A73+1)</f>
        <v>320.74</v>
      </c>
      <c r="D73" s="13" t="n">
        <f aca="false">IFERROR(AVERAGEIFS(Operaciones!$K$2:$K$446,Operaciones!$A$2:$A$446,"&gt;="&amp;A73,Operaciones!$A$2:$A$446,"&lt;"&amp;A73+1),"")</f>
        <v>0.0604837306642642</v>
      </c>
      <c r="E73" s="12" t="n">
        <f aca="false">E72+C73</f>
        <v>3612.13</v>
      </c>
    </row>
    <row r="74" customFormat="false" ht="15" hidden="false" customHeight="false" outlineLevel="0" collapsed="false">
      <c r="A74" s="14" t="n">
        <v>46155</v>
      </c>
      <c r="B74" s="11" t="n">
        <f aca="false">COUNTIFS(Operaciones!$A$2:$A$446,"&gt;="&amp;A74,Operaciones!$A$2:$A$446,"&lt;"&amp;A74+1)</f>
        <v>1</v>
      </c>
      <c r="C74" s="12" t="n">
        <f aca="false">SUMIFS(Operaciones!$J$2:$J$446,Operaciones!$A$2:$A$446,"&gt;="&amp;A74,Operaciones!$A$2:$A$446,"&lt;"&amp;A74+1)</f>
        <v>1.04</v>
      </c>
      <c r="D74" s="13" t="n">
        <f aca="false">IFERROR(AVERAGEIFS(Operaciones!$K$2:$K$446,Operaciones!$A$2:$A$446,"&gt;="&amp;A74,Operaciones!$A$2:$A$446,"&lt;"&amp;A74+1),"")</f>
        <v>0.0104</v>
      </c>
      <c r="E74" s="12" t="n">
        <f aca="false">E73+C74</f>
        <v>3613.17</v>
      </c>
    </row>
    <row r="75" customFormat="false" ht="15" hidden="false" customHeight="false" outlineLevel="0" collapsed="false">
      <c r="A75" s="14" t="n">
        <v>46156</v>
      </c>
      <c r="B75" s="11" t="n">
        <f aca="false">COUNTIFS(Operaciones!$A$2:$A$446,"&gt;="&amp;A75,Operaciones!$A$2:$A$446,"&lt;"&amp;A75+1)</f>
        <v>3</v>
      </c>
      <c r="C75" s="12" t="n">
        <f aca="false">SUMIFS(Operaciones!$J$2:$J$446,Operaciones!$A$2:$A$446,"&gt;="&amp;A75,Operaciones!$A$2:$A$446,"&lt;"&amp;A75+1)</f>
        <v>401.73</v>
      </c>
      <c r="D75" s="13" t="n">
        <f aca="false">IFERROR(AVERAGEIFS(Operaciones!$K$2:$K$446,Operaciones!$A$2:$A$446,"&gt;="&amp;A75,Operaciones!$A$2:$A$446,"&lt;"&amp;A75+1),"")</f>
        <v>0.104384059945361</v>
      </c>
      <c r="E75" s="12" t="n">
        <f aca="false">E74+C75</f>
        <v>4014.9</v>
      </c>
    </row>
    <row r="76" customFormat="false" ht="15" hidden="false" customHeight="false" outlineLevel="0" collapsed="false">
      <c r="A76" s="14" t="n">
        <v>46157</v>
      </c>
      <c r="B76" s="11" t="n">
        <f aca="false">COUNTIFS(Operaciones!$A$2:$A$446,"&gt;="&amp;A76,Operaciones!$A$2:$A$446,"&lt;"&amp;A76+1)</f>
        <v>2</v>
      </c>
      <c r="C76" s="12" t="n">
        <f aca="false">SUMIFS(Operaciones!$J$2:$J$446,Operaciones!$A$2:$A$446,"&gt;="&amp;A76,Operaciones!$A$2:$A$446,"&lt;"&amp;A76+1)</f>
        <v>106.89</v>
      </c>
      <c r="D76" s="13" t="n">
        <f aca="false">IFERROR(AVERAGEIFS(Operaciones!$K$2:$K$446,Operaciones!$A$2:$A$446,"&gt;="&amp;A76,Operaciones!$A$2:$A$446,"&lt;"&amp;A76+1),"")</f>
        <v>0.0188650208234951</v>
      </c>
      <c r="E76" s="12" t="n">
        <f aca="false">E75+C76</f>
        <v>4121.79</v>
      </c>
    </row>
    <row r="77" customFormat="false" ht="15" hidden="false" customHeight="false" outlineLevel="0" collapsed="false">
      <c r="A77" s="14" t="n">
        <v>46160</v>
      </c>
      <c r="B77" s="11" t="n">
        <f aca="false">COUNTIFS(Operaciones!$A$2:$A$446,"&gt;="&amp;A77,Operaciones!$A$2:$A$446,"&lt;"&amp;A77+1)</f>
        <v>3</v>
      </c>
      <c r="C77" s="12" t="n">
        <f aca="false">SUMIFS(Operaciones!$J$2:$J$446,Operaciones!$A$2:$A$446,"&gt;="&amp;A77,Operaciones!$A$2:$A$446,"&lt;"&amp;A77+1)</f>
        <v>-43.14</v>
      </c>
      <c r="D77" s="13" t="n">
        <f aca="false">IFERROR(AVERAGEIFS(Operaciones!$K$2:$K$446,Operaciones!$A$2:$A$446,"&gt;="&amp;A77,Operaciones!$A$2:$A$446,"&lt;"&amp;A77+1),"")</f>
        <v>0.100759751692253</v>
      </c>
      <c r="E77" s="12" t="n">
        <f aca="false">E76+C77</f>
        <v>4078.65</v>
      </c>
    </row>
    <row r="78" customFormat="false" ht="15" hidden="false" customHeight="false" outlineLevel="0" collapsed="false">
      <c r="A78" s="14" t="n">
        <v>46161</v>
      </c>
      <c r="B78" s="11" t="n">
        <f aca="false">COUNTIFS(Operaciones!$A$2:$A$446,"&gt;="&amp;A78,Operaciones!$A$2:$A$446,"&lt;"&amp;A78+1)</f>
        <v>1</v>
      </c>
      <c r="C78" s="12" t="n">
        <f aca="false">SUMIFS(Operaciones!$J$2:$J$446,Operaciones!$A$2:$A$446,"&gt;="&amp;A78,Operaciones!$A$2:$A$446,"&lt;"&amp;A78+1)</f>
        <v>103.49</v>
      </c>
      <c r="D78" s="13" t="n">
        <f aca="false">IFERROR(AVERAGEIFS(Operaciones!$K$2:$K$446,Operaciones!$A$2:$A$446,"&gt;="&amp;A78,Operaciones!$A$2:$A$446,"&lt;"&amp;A78+1),"")</f>
        <v>0.10349</v>
      </c>
      <c r="E78" s="12" t="n">
        <f aca="false">E77+C78</f>
        <v>4182.14</v>
      </c>
    </row>
    <row r="79" customFormat="false" ht="15" hidden="false" customHeight="false" outlineLevel="0" collapsed="false">
      <c r="A79" s="14" t="n">
        <v>46163</v>
      </c>
      <c r="B79" s="11" t="n">
        <f aca="false">COUNTIFS(Operaciones!$A$2:$A$446,"&gt;="&amp;A79,Operaciones!$A$2:$A$446,"&lt;"&amp;A79+1)</f>
        <v>1</v>
      </c>
      <c r="C79" s="12" t="n">
        <f aca="false">SUMIFS(Operaciones!$J$2:$J$446,Operaciones!$A$2:$A$446,"&gt;="&amp;A79,Operaciones!$A$2:$A$446,"&lt;"&amp;A79+1)</f>
        <v>11.77</v>
      </c>
      <c r="D79" s="13" t="n">
        <f aca="false">IFERROR(AVERAGEIFS(Operaciones!$K$2:$K$446,Operaciones!$A$2:$A$446,"&gt;="&amp;A79,Operaciones!$A$2:$A$446,"&lt;"&amp;A79+1),"")</f>
        <v>0.01177</v>
      </c>
      <c r="E79" s="12" t="n">
        <f aca="false">E78+C79</f>
        <v>4193.91</v>
      </c>
    </row>
    <row r="80" customFormat="false" ht="15" hidden="false" customHeight="false" outlineLevel="0" collapsed="false">
      <c r="A80" s="14" t="n">
        <v>46166</v>
      </c>
      <c r="B80" s="11" t="n">
        <f aca="false">COUNTIFS(Operaciones!$A$2:$A$446,"&gt;="&amp;A80,Operaciones!$A$2:$A$446,"&lt;"&amp;A80+1)</f>
        <v>1</v>
      </c>
      <c r="C80" s="12" t="n">
        <f aca="false">SUMIFS(Operaciones!$J$2:$J$446,Operaciones!$A$2:$A$446,"&gt;="&amp;A80,Operaciones!$A$2:$A$446,"&lt;"&amp;A80+1)</f>
        <v>73.19</v>
      </c>
      <c r="D80" s="13" t="n">
        <f aca="false">IFERROR(AVERAGEIFS(Operaciones!$K$2:$K$446,Operaciones!$A$2:$A$446,"&gt;="&amp;A80,Operaciones!$A$2:$A$446,"&lt;"&amp;A80+1),"")</f>
        <v>0.07319</v>
      </c>
      <c r="E80" s="12" t="n">
        <f aca="false">E79+C80</f>
        <v>4267.1</v>
      </c>
    </row>
    <row r="81" customFormat="false" ht="15" hidden="false" customHeight="false" outlineLevel="0" collapsed="false">
      <c r="A81" s="14" t="n">
        <v>46168</v>
      </c>
      <c r="B81" s="11" t="n">
        <f aca="false">COUNTIFS(Operaciones!$A$2:$A$446,"&gt;="&amp;A81,Operaciones!$A$2:$A$446,"&lt;"&amp;A81+1)</f>
        <v>4</v>
      </c>
      <c r="C81" s="12" t="n">
        <f aca="false">SUMIFS(Operaciones!$J$2:$J$446,Operaciones!$A$2:$A$446,"&gt;="&amp;A81,Operaciones!$A$2:$A$446,"&lt;"&amp;A81+1)</f>
        <v>442.61</v>
      </c>
      <c r="D81" s="13" t="n">
        <f aca="false">IFERROR(AVERAGEIFS(Operaciones!$K$2:$K$446,Operaciones!$A$2:$A$446,"&gt;="&amp;A81,Operaciones!$A$2:$A$446,"&lt;"&amp;A81+1),"")</f>
        <v>0.0794376577488243</v>
      </c>
      <c r="E81" s="12" t="n">
        <f aca="false">E80+C81</f>
        <v>4709.71</v>
      </c>
    </row>
    <row r="82" customFormat="false" ht="15" hidden="false" customHeight="false" outlineLevel="0" collapsed="false">
      <c r="A82" s="14" t="n">
        <v>46169</v>
      </c>
      <c r="B82" s="11" t="n">
        <f aca="false">COUNTIFS(Operaciones!$A$2:$A$446,"&gt;="&amp;A82,Operaciones!$A$2:$A$446,"&lt;"&amp;A82+1)</f>
        <v>3</v>
      </c>
      <c r="C82" s="12" t="n">
        <f aca="false">SUMIFS(Operaciones!$J$2:$J$446,Operaciones!$A$2:$A$446,"&gt;="&amp;A82,Operaciones!$A$2:$A$446,"&lt;"&amp;A82+1)</f>
        <v>157.33</v>
      </c>
      <c r="D82" s="13" t="n">
        <f aca="false">IFERROR(AVERAGEIFS(Operaciones!$K$2:$K$446,Operaciones!$A$2:$A$446,"&gt;="&amp;A82,Operaciones!$A$2:$A$446,"&lt;"&amp;A82+1),"")</f>
        <v>-0.000219800559546647</v>
      </c>
      <c r="E82" s="12" t="n">
        <f aca="false">E81+C82</f>
        <v>4867.04</v>
      </c>
    </row>
    <row r="83" customFormat="false" ht="15" hidden="false" customHeight="false" outlineLevel="0" collapsed="false">
      <c r="A83" s="14" t="n">
        <v>46170</v>
      </c>
      <c r="B83" s="11" t="n">
        <f aca="false">COUNTIFS(Operaciones!$A$2:$A$446,"&gt;="&amp;A83,Operaciones!$A$2:$A$446,"&lt;"&amp;A83+1)</f>
        <v>3</v>
      </c>
      <c r="C83" s="12" t="n">
        <f aca="false">SUMIFS(Operaciones!$J$2:$J$446,Operaciones!$A$2:$A$446,"&gt;="&amp;A83,Operaciones!$A$2:$A$446,"&lt;"&amp;A83+1)</f>
        <v>234.59</v>
      </c>
      <c r="D83" s="13" t="n">
        <f aca="false">IFERROR(AVERAGEIFS(Operaciones!$K$2:$K$446,Operaciones!$A$2:$A$446,"&gt;="&amp;A83,Operaciones!$A$2:$A$446,"&lt;"&amp;A83+1),"")</f>
        <v>0.0773182684259027</v>
      </c>
      <c r="E83" s="12" t="n">
        <f aca="false">E82+C83</f>
        <v>5101.63</v>
      </c>
    </row>
    <row r="84" customFormat="false" ht="15" hidden="false" customHeight="false" outlineLevel="0" collapsed="false">
      <c r="A84" s="14" t="n">
        <v>46171</v>
      </c>
      <c r="B84" s="11" t="n">
        <f aca="false">COUNTIFS(Operaciones!$A$2:$A$446,"&gt;="&amp;A84,Operaciones!$A$2:$A$446,"&lt;"&amp;A84+1)</f>
        <v>1</v>
      </c>
      <c r="C84" s="12" t="n">
        <f aca="false">SUMIFS(Operaciones!$J$2:$J$446,Operaciones!$A$2:$A$446,"&gt;="&amp;A84,Operaciones!$A$2:$A$446,"&lt;"&amp;A84+1)</f>
        <v>114.99</v>
      </c>
      <c r="D84" s="13" t="n">
        <f aca="false">IFERROR(AVERAGEIFS(Operaciones!$K$2:$K$446,Operaciones!$A$2:$A$446,"&gt;="&amp;A84,Operaciones!$A$2:$A$446,"&lt;"&amp;A84+1),"")</f>
        <v>0.115024507352206</v>
      </c>
      <c r="E84" s="12" t="n">
        <f aca="false">E83+C84</f>
        <v>5216.62</v>
      </c>
    </row>
    <row r="85" customFormat="false" ht="15" hidden="false" customHeight="false" outlineLevel="0" collapsed="false">
      <c r="A85" s="14" t="n">
        <v>46173</v>
      </c>
      <c r="B85" s="11" t="n">
        <f aca="false">COUNTIFS(Operaciones!$A$2:$A$446,"&gt;="&amp;A85,Operaciones!$A$2:$A$446,"&lt;"&amp;A85+1)</f>
        <v>1</v>
      </c>
      <c r="C85" s="12" t="n">
        <f aca="false">SUMIFS(Operaciones!$J$2:$J$446,Operaciones!$A$2:$A$446,"&gt;="&amp;A85,Operaciones!$A$2:$A$446,"&lt;"&amp;A85+1)</f>
        <v>-1010.15</v>
      </c>
      <c r="D85" s="13" t="n">
        <f aca="false">IFERROR(AVERAGEIFS(Operaciones!$K$2:$K$446,Operaciones!$A$2:$A$446,"&gt;="&amp;A85,Operaciones!$A$2:$A$446,"&lt;"&amp;A85+1),"")</f>
        <v>-1.01015</v>
      </c>
      <c r="E85" s="12" t="n">
        <f aca="false">E84+C85</f>
        <v>4206.47</v>
      </c>
    </row>
    <row r="86" customFormat="false" ht="15" hidden="false" customHeight="false" outlineLevel="0" collapsed="false">
      <c r="A86" s="14" t="n">
        <v>46174</v>
      </c>
      <c r="B86" s="11" t="n">
        <f aca="false">COUNTIFS(Operaciones!$A$2:$A$446,"&gt;="&amp;A86,Operaciones!$A$2:$A$446,"&lt;"&amp;A86+1)</f>
        <v>2</v>
      </c>
      <c r="C86" s="12" t="n">
        <f aca="false">SUMIFS(Operaciones!$J$2:$J$446,Operaciones!$A$2:$A$446,"&gt;="&amp;A86,Operaciones!$A$2:$A$446,"&lt;"&amp;A86+1)</f>
        <v>642.15</v>
      </c>
      <c r="D86" s="13" t="n">
        <f aca="false">IFERROR(AVERAGEIFS(Operaciones!$K$2:$K$446,Operaciones!$A$2:$A$446,"&gt;="&amp;A86,Operaciones!$A$2:$A$446,"&lt;"&amp;A86+1),"")</f>
        <v>0.391485066203311</v>
      </c>
      <c r="E86" s="12" t="n">
        <f aca="false">E85+C86</f>
        <v>4848.62</v>
      </c>
    </row>
    <row r="87" customFormat="false" ht="15" hidden="false" customHeight="false" outlineLevel="0" collapsed="false">
      <c r="A87" s="14" t="n">
        <v>46176</v>
      </c>
      <c r="B87" s="11" t="n">
        <f aca="false">COUNTIFS(Operaciones!$A$2:$A$446,"&gt;="&amp;A87,Operaciones!$A$2:$A$446,"&lt;"&amp;A87+1)</f>
        <v>3</v>
      </c>
      <c r="C87" s="12" t="n">
        <f aca="false">SUMIFS(Operaciones!$J$2:$J$446,Operaciones!$A$2:$A$446,"&gt;="&amp;A87,Operaciones!$A$2:$A$446,"&lt;"&amp;A87+1)</f>
        <v>323.12</v>
      </c>
      <c r="D87" s="13" t="n">
        <f aca="false">IFERROR(AVERAGEIFS(Operaciones!$K$2:$K$446,Operaciones!$A$2:$A$446,"&gt;="&amp;A87,Operaciones!$A$2:$A$446,"&lt;"&amp;A87+1),"")</f>
        <v>0.133007290983279</v>
      </c>
      <c r="E87" s="12" t="n">
        <f aca="false">E86+C87</f>
        <v>5171.74</v>
      </c>
    </row>
    <row r="88" customFormat="false" ht="15" hidden="false" customHeight="false" outlineLevel="0" collapsed="false">
      <c r="A88" s="14" t="n">
        <v>46177</v>
      </c>
      <c r="B88" s="11" t="n">
        <f aca="false">COUNTIFS(Operaciones!$A$2:$A$446,"&gt;="&amp;A88,Operaciones!$A$2:$A$446,"&lt;"&amp;A88+1)</f>
        <v>3</v>
      </c>
      <c r="C88" s="12" t="n">
        <f aca="false">SUMIFS(Operaciones!$J$2:$J$446,Operaciones!$A$2:$A$446,"&gt;="&amp;A88,Operaciones!$A$2:$A$446,"&lt;"&amp;A88+1)</f>
        <v>435.65</v>
      </c>
      <c r="D88" s="13" t="n">
        <f aca="false">IFERROR(AVERAGEIFS(Operaciones!$K$2:$K$446,Operaciones!$A$2:$A$446,"&gt;="&amp;A88,Operaciones!$A$2:$A$446,"&lt;"&amp;A88+1),"")</f>
        <v>0.145366838642594</v>
      </c>
      <c r="E88" s="12" t="n">
        <f aca="false">E87+C88</f>
        <v>5607.39</v>
      </c>
    </row>
    <row r="89" customFormat="false" ht="15" hidden="false" customHeight="false" outlineLevel="0" collapsed="false">
      <c r="A89" s="14" t="n">
        <v>46178</v>
      </c>
      <c r="B89" s="11" t="n">
        <f aca="false">COUNTIFS(Operaciones!$A$2:$A$446,"&gt;="&amp;A89,Operaciones!$A$2:$A$446,"&lt;"&amp;A89+1)</f>
        <v>3</v>
      </c>
      <c r="C89" s="12" t="n">
        <f aca="false">SUMIFS(Operaciones!$J$2:$J$446,Operaciones!$A$2:$A$446,"&gt;="&amp;A89,Operaciones!$A$2:$A$446,"&lt;"&amp;A89+1)</f>
        <v>265.8</v>
      </c>
      <c r="D89" s="13" t="n">
        <f aca="false">IFERROR(AVERAGEIFS(Operaciones!$K$2:$K$446,Operaciones!$A$2:$A$446,"&gt;="&amp;A89,Operaciones!$A$2:$A$446,"&lt;"&amp;A89+1),"")</f>
        <v>0.09494558966933</v>
      </c>
      <c r="E89" s="12" t="n">
        <f aca="false">E88+C89</f>
        <v>5873.19</v>
      </c>
    </row>
    <row r="90" customFormat="false" ht="15" hidden="false" customHeight="false" outlineLevel="0" collapsed="false">
      <c r="A90" s="14" t="n">
        <v>46179</v>
      </c>
      <c r="B90" s="11" t="n">
        <f aca="false">COUNTIFS(Operaciones!$A$2:$A$446,"&gt;="&amp;A90,Operaciones!$A$2:$A$446,"&lt;"&amp;A90+1)</f>
        <v>2</v>
      </c>
      <c r="C90" s="12" t="n">
        <f aca="false">SUMIFS(Operaciones!$J$2:$J$446,Operaciones!$A$2:$A$446,"&gt;="&amp;A90,Operaciones!$A$2:$A$446,"&lt;"&amp;A90+1)</f>
        <v>649.76</v>
      </c>
      <c r="D90" s="13" t="n">
        <f aca="false">IFERROR(AVERAGEIFS(Operaciones!$K$2:$K$446,Operaciones!$A$2:$A$446,"&gt;="&amp;A90,Operaciones!$A$2:$A$446,"&lt;"&amp;A90+1),"")</f>
        <v>0.137901869837397</v>
      </c>
      <c r="E90" s="12" t="n">
        <f aca="false">E89+C90</f>
        <v>6522.95</v>
      </c>
    </row>
    <row r="91" customFormat="false" ht="15" hidden="false" customHeight="false" outlineLevel="0" collapsed="false">
      <c r="A91" s="14" t="n">
        <v>46182</v>
      </c>
      <c r="B91" s="11" t="n">
        <f aca="false">COUNTIFS(Operaciones!$A$2:$A$446,"&gt;="&amp;A91,Operaciones!$A$2:$A$446,"&lt;"&amp;A91+1)</f>
        <v>1</v>
      </c>
      <c r="C91" s="12" t="n">
        <f aca="false">SUMIFS(Operaciones!$J$2:$J$446,Operaciones!$A$2:$A$446,"&gt;="&amp;A91,Operaciones!$A$2:$A$446,"&lt;"&amp;A91+1)</f>
        <v>-107.03</v>
      </c>
      <c r="D91" s="13" t="n">
        <f aca="false">IFERROR(AVERAGEIFS(Operaciones!$K$2:$K$446,Operaciones!$A$2:$A$446,"&gt;="&amp;A91,Operaciones!$A$2:$A$446,"&lt;"&amp;A91+1),"")</f>
        <v>-0.10703</v>
      </c>
      <c r="E91" s="12" t="n">
        <f aca="false">E90+C91</f>
        <v>6415.92</v>
      </c>
    </row>
    <row r="92" customFormat="false" ht="15" hidden="false" customHeight="false" outlineLevel="0" collapsed="false">
      <c r="A92" s="14" t="n">
        <v>46183</v>
      </c>
      <c r="B92" s="11" t="n">
        <f aca="false">COUNTIFS(Operaciones!$A$2:$A$446,"&gt;="&amp;A92,Operaciones!$A$2:$A$446,"&lt;"&amp;A92+1)</f>
        <v>1</v>
      </c>
      <c r="C92" s="12" t="n">
        <f aca="false">SUMIFS(Operaciones!$J$2:$J$446,Operaciones!$A$2:$A$446,"&gt;="&amp;A92,Operaciones!$A$2:$A$446,"&lt;"&amp;A92+1)</f>
        <v>-6650.79</v>
      </c>
      <c r="D92" s="13" t="n">
        <f aca="false">IFERROR(AVERAGEIFS(Operaciones!$K$2:$K$446,Operaciones!$A$2:$A$446,"&gt;="&amp;A92,Operaciones!$A$2:$A$446,"&lt;"&amp;A92+1),"")</f>
        <v>-1.63853323117327</v>
      </c>
      <c r="E92" s="12" t="n">
        <f aca="false">E91+C92</f>
        <v>-234.870000000002</v>
      </c>
    </row>
    <row r="93" customFormat="false" ht="15" hidden="false" customHeight="false" outlineLevel="0" collapsed="false">
      <c r="A93" s="14" t="n">
        <v>46184</v>
      </c>
      <c r="B93" s="11" t="n">
        <f aca="false">COUNTIFS(Operaciones!$A$2:$A$446,"&gt;="&amp;A93,Operaciones!$A$2:$A$446,"&lt;"&amp;A93+1)</f>
        <v>1</v>
      </c>
      <c r="C93" s="12" t="n">
        <f aca="false">SUMIFS(Operaciones!$J$2:$J$446,Operaciones!$A$2:$A$446,"&gt;="&amp;A93,Operaciones!$A$2:$A$446,"&lt;"&amp;A93+1)</f>
        <v>67.91</v>
      </c>
      <c r="D93" s="13" t="n">
        <f aca="false">IFERROR(AVERAGEIFS(Operaciones!$K$2:$K$446,Operaciones!$A$2:$A$446,"&gt;="&amp;A93,Operaciones!$A$2:$A$446,"&lt;"&amp;A93+1),"")</f>
        <v>0.13582</v>
      </c>
      <c r="E93" s="12" t="n">
        <f aca="false">E92+C93</f>
        <v>-166.960000000002</v>
      </c>
    </row>
    <row r="94" customFormat="false" ht="15" hidden="false" customHeight="false" outlineLevel="0" collapsed="false">
      <c r="A94" s="14" t="n">
        <v>46185</v>
      </c>
      <c r="B94" s="11" t="n">
        <f aca="false">COUNTIFS(Operaciones!$A$2:$A$446,"&gt;="&amp;A94,Operaciones!$A$2:$A$446,"&lt;"&amp;A94+1)</f>
        <v>1</v>
      </c>
      <c r="C94" s="12" t="n">
        <f aca="false">SUMIFS(Operaciones!$J$2:$J$446,Operaciones!$A$2:$A$446,"&gt;="&amp;A94,Operaciones!$A$2:$A$446,"&lt;"&amp;A94+1)</f>
        <v>249.72</v>
      </c>
      <c r="D94" s="13" t="n">
        <f aca="false">IFERROR(AVERAGEIFS(Operaciones!$K$2:$K$446,Operaciones!$A$2:$A$446,"&gt;="&amp;A94,Operaciones!$A$2:$A$446,"&lt;"&amp;A94+1),"")</f>
        <v>0.24972</v>
      </c>
      <c r="E94" s="12" t="n">
        <f aca="false">E93+C94</f>
        <v>82.7599999999983</v>
      </c>
    </row>
    <row r="95" customFormat="false" ht="15" hidden="false" customHeight="false" outlineLevel="0" collapsed="false">
      <c r="A95" s="14" t="n">
        <v>46186</v>
      </c>
      <c r="B95" s="11" t="n">
        <f aca="false">COUNTIFS(Operaciones!$A$2:$A$446,"&gt;="&amp;A95,Operaciones!$A$2:$A$446,"&lt;"&amp;A95+1)</f>
        <v>1</v>
      </c>
      <c r="C95" s="12" t="n">
        <f aca="false">SUMIFS(Operaciones!$J$2:$J$446,Operaciones!$A$2:$A$446,"&gt;="&amp;A95,Operaciones!$A$2:$A$446,"&lt;"&amp;A95+1)</f>
        <v>254.28</v>
      </c>
      <c r="D95" s="13" t="n">
        <f aca="false">IFERROR(AVERAGEIFS(Operaciones!$K$2:$K$446,Operaciones!$A$2:$A$446,"&gt;="&amp;A95,Operaciones!$A$2:$A$446,"&lt;"&amp;A95+1),"")</f>
        <v>0.254351218341136</v>
      </c>
      <c r="E95" s="12" t="n">
        <f aca="false">E94+C95</f>
        <v>337.039999999998</v>
      </c>
    </row>
    <row r="96" customFormat="false" ht="15" hidden="false" customHeight="false" outlineLevel="0" collapsed="false">
      <c r="A96" s="14" t="n">
        <v>46187</v>
      </c>
      <c r="B96" s="11" t="n">
        <f aca="false">COUNTIFS(Operaciones!$A$2:$A$446,"&gt;="&amp;A96,Operaciones!$A$2:$A$446,"&lt;"&amp;A96+1)</f>
        <v>1</v>
      </c>
      <c r="C96" s="12" t="n">
        <f aca="false">SUMIFS(Operaciones!$J$2:$J$446,Operaciones!$A$2:$A$446,"&gt;="&amp;A96,Operaciones!$A$2:$A$446,"&lt;"&amp;A96+1)</f>
        <v>104.27</v>
      </c>
      <c r="D96" s="13" t="n">
        <f aca="false">IFERROR(AVERAGEIFS(Operaciones!$K$2:$K$446,Operaciones!$A$2:$A$446,"&gt;="&amp;A96,Operaciones!$A$2:$A$446,"&lt;"&amp;A96+1),"")</f>
        <v>0.104278342267381</v>
      </c>
      <c r="E96" s="12" t="n">
        <f aca="false">E95+C96</f>
        <v>441.309999999998</v>
      </c>
    </row>
    <row r="97" customFormat="false" ht="15" hidden="false" customHeight="false" outlineLevel="0" collapsed="false">
      <c r="A97" s="14" t="n">
        <v>46189</v>
      </c>
      <c r="B97" s="11" t="n">
        <f aca="false">COUNTIFS(Operaciones!$A$2:$A$446,"&gt;="&amp;A97,Operaciones!$A$2:$A$446,"&lt;"&amp;A97+1)</f>
        <v>1</v>
      </c>
      <c r="C97" s="12" t="n">
        <f aca="false">SUMIFS(Operaciones!$J$2:$J$446,Operaciones!$A$2:$A$446,"&gt;="&amp;A97,Operaciones!$A$2:$A$446,"&lt;"&amp;A97+1)</f>
        <v>167.87</v>
      </c>
      <c r="D97" s="13" t="n">
        <f aca="false">IFERROR(AVERAGEIFS(Operaciones!$K$2:$K$446,Operaciones!$A$2:$A$446,"&gt;="&amp;A97,Operaciones!$A$2:$A$446,"&lt;"&amp;A97+1),"")</f>
        <v>0.167875036251088</v>
      </c>
      <c r="E97" s="12" t="n">
        <f aca="false">E96+C97</f>
        <v>609.179999999998</v>
      </c>
    </row>
    <row r="98" customFormat="false" ht="15" hidden="false" customHeight="false" outlineLevel="0" collapsed="false">
      <c r="A98" s="14" t="n">
        <v>46190</v>
      </c>
      <c r="B98" s="11" t="n">
        <f aca="false">COUNTIFS(Operaciones!$A$2:$A$446,"&gt;="&amp;A98,Operaciones!$A$2:$A$446,"&lt;"&amp;A98+1)</f>
        <v>3</v>
      </c>
      <c r="C98" s="12" t="n">
        <f aca="false">SUMIFS(Operaciones!$J$2:$J$446,Operaciones!$A$2:$A$446,"&gt;="&amp;A98,Operaciones!$A$2:$A$446,"&lt;"&amp;A98+1)</f>
        <v>259.11</v>
      </c>
      <c r="D98" s="13" t="n">
        <f aca="false">IFERROR(AVERAGEIFS(Operaciones!$K$2:$K$446,Operaciones!$A$2:$A$446,"&gt;="&amp;A98,Operaciones!$A$2:$A$446,"&lt;"&amp;A98+1),"")</f>
        <v>0.0863705661072172</v>
      </c>
      <c r="E98" s="12" t="n">
        <f aca="false">E97+C98</f>
        <v>868.289999999998</v>
      </c>
    </row>
    <row r="99" customFormat="false" ht="15" hidden="false" customHeight="false" outlineLevel="0" collapsed="false">
      <c r="A99" s="14" t="n">
        <v>46191</v>
      </c>
      <c r="B99" s="11" t="n">
        <f aca="false">COUNTIFS(Operaciones!$A$2:$A$446,"&gt;="&amp;A99,Operaciones!$A$2:$A$446,"&lt;"&amp;A99+1)</f>
        <v>2</v>
      </c>
      <c r="C99" s="12" t="n">
        <f aca="false">SUMIFS(Operaciones!$J$2:$J$446,Operaciones!$A$2:$A$446,"&gt;="&amp;A99,Operaciones!$A$2:$A$446,"&lt;"&amp;A99+1)</f>
        <v>221.7</v>
      </c>
      <c r="D99" s="13" t="n">
        <f aca="false">IFERROR(AVERAGEIFS(Operaciones!$K$2:$K$446,Operaciones!$A$2:$A$446,"&gt;="&amp;A99,Operaciones!$A$2:$A$446,"&lt;"&amp;A99+1),"")</f>
        <v>0.110855403362968</v>
      </c>
      <c r="E99" s="12" t="n">
        <f aca="false">E98+C99</f>
        <v>1089.99</v>
      </c>
    </row>
    <row r="100" customFormat="false" ht="15" hidden="false" customHeight="false" outlineLevel="0" collapsed="false">
      <c r="A100" s="14" t="n">
        <v>46192</v>
      </c>
      <c r="B100" s="11" t="n">
        <f aca="false">COUNTIFS(Operaciones!$A$2:$A$446,"&gt;="&amp;A100,Operaciones!$A$2:$A$446,"&lt;"&amp;A100+1)</f>
        <v>1</v>
      </c>
      <c r="C100" s="12" t="n">
        <f aca="false">SUMIFS(Operaciones!$J$2:$J$446,Operaciones!$A$2:$A$446,"&gt;="&amp;A100,Operaciones!$A$2:$A$446,"&lt;"&amp;A100+1)</f>
        <v>132.63</v>
      </c>
      <c r="D100" s="13" t="n">
        <f aca="false">IFERROR(AVERAGEIFS(Operaciones!$K$2:$K$446,Operaciones!$A$2:$A$446,"&gt;="&amp;A100,Operaciones!$A$2:$A$446,"&lt;"&amp;A100+1),"")</f>
        <v>0.132631326313263</v>
      </c>
      <c r="E100" s="12" t="n">
        <f aca="false">E99+C100</f>
        <v>1222.62</v>
      </c>
    </row>
    <row r="101" customFormat="false" ht="15" hidden="false" customHeight="false" outlineLevel="0" collapsed="false">
      <c r="A101" s="14" t="n">
        <v>46193</v>
      </c>
      <c r="B101" s="11" t="n">
        <f aca="false">COUNTIFS(Operaciones!$A$2:$A$446,"&gt;="&amp;A101,Operaciones!$A$2:$A$446,"&lt;"&amp;A101+1)</f>
        <v>2</v>
      </c>
      <c r="C101" s="12" t="n">
        <f aca="false">SUMIFS(Operaciones!$J$2:$J$446,Operaciones!$A$2:$A$446,"&gt;="&amp;A101,Operaciones!$A$2:$A$446,"&lt;"&amp;A101+1)</f>
        <v>-869.09</v>
      </c>
      <c r="D101" s="13" t="n">
        <f aca="false">IFERROR(AVERAGEIFS(Operaciones!$K$2:$K$446,Operaciones!$A$2:$A$446,"&gt;="&amp;A101,Operaciones!$A$2:$A$446,"&lt;"&amp;A101+1),"")</f>
        <v>-0.434548587970729</v>
      </c>
      <c r="E101" s="12" t="n">
        <f aca="false">E100+C101</f>
        <v>353.529999999998</v>
      </c>
    </row>
    <row r="102" customFormat="false" ht="15" hidden="false" customHeight="false" outlineLevel="0" collapsed="false">
      <c r="A102" s="14" t="n">
        <v>46195</v>
      </c>
      <c r="B102" s="11" t="n">
        <f aca="false">COUNTIFS(Operaciones!$A$2:$A$446,"&gt;="&amp;A102,Operaciones!$A$2:$A$446,"&lt;"&amp;A102+1)</f>
        <v>1</v>
      </c>
      <c r="C102" s="12" t="n">
        <f aca="false">SUMIFS(Operaciones!$J$2:$J$446,Operaciones!$A$2:$A$446,"&gt;="&amp;A102,Operaciones!$A$2:$A$446,"&lt;"&amp;A102+1)</f>
        <v>376.81</v>
      </c>
      <c r="D102" s="13" t="n">
        <f aca="false">IFERROR(AVERAGEIFS(Operaciones!$K$2:$K$446,Operaciones!$A$2:$A$446,"&gt;="&amp;A102,Operaciones!$A$2:$A$446,"&lt;"&amp;A102+1),"")</f>
        <v>0.376813768137681</v>
      </c>
      <c r="E102" s="12" t="n">
        <f aca="false">E101+C102</f>
        <v>730.339999999998</v>
      </c>
    </row>
    <row r="103" customFormat="false" ht="15" hidden="false" customHeight="false" outlineLevel="0" collapsed="false">
      <c r="A103" s="14" t="n">
        <v>46196</v>
      </c>
      <c r="B103" s="11" t="n">
        <f aca="false">COUNTIFS(Operaciones!$A$2:$A$446,"&gt;="&amp;A103,Operaciones!$A$2:$A$446,"&lt;"&amp;A103+1)</f>
        <v>3</v>
      </c>
      <c r="C103" s="12" t="n">
        <f aca="false">SUMIFS(Operaciones!$J$2:$J$446,Operaciones!$A$2:$A$446,"&gt;="&amp;A103,Operaciones!$A$2:$A$446,"&lt;"&amp;A103+1)</f>
        <v>322.14</v>
      </c>
      <c r="D103" s="13" t="n">
        <f aca="false">IFERROR(AVERAGEIFS(Operaciones!$K$2:$K$446,Operaciones!$A$2:$A$446,"&gt;="&amp;A103,Operaciones!$A$2:$A$446,"&lt;"&amp;A103+1),"")</f>
        <v>0.107388937998912</v>
      </c>
      <c r="E103" s="12" t="n">
        <f aca="false">E102+C103</f>
        <v>1052.48</v>
      </c>
    </row>
    <row r="104" customFormat="false" ht="15" hidden="false" customHeight="false" outlineLevel="0" collapsed="false">
      <c r="A104" s="14" t="n">
        <v>46197</v>
      </c>
      <c r="B104" s="11" t="n">
        <f aca="false">COUNTIFS(Operaciones!$A$2:$A$446,"&gt;="&amp;A104,Operaciones!$A$2:$A$446,"&lt;"&amp;A104+1)</f>
        <v>1</v>
      </c>
      <c r="C104" s="12" t="n">
        <f aca="false">SUMIFS(Operaciones!$J$2:$J$446,Operaciones!$A$2:$A$446,"&gt;="&amp;A104,Operaciones!$A$2:$A$446,"&lt;"&amp;A104+1)</f>
        <v>107.76</v>
      </c>
      <c r="D104" s="13" t="n">
        <f aca="false">IFERROR(AVERAGEIFS(Operaciones!$K$2:$K$446,Operaciones!$A$2:$A$446,"&gt;="&amp;A104,Operaciones!$A$2:$A$446,"&lt;"&amp;A104+1),"")</f>
        <v>0.107761077610776</v>
      </c>
      <c r="E104" s="12" t="n">
        <f aca="false">E103+C104</f>
        <v>1160.24</v>
      </c>
    </row>
    <row r="105" customFormat="false" ht="15" hidden="false" customHeight="false" outlineLevel="0" collapsed="false">
      <c r="A105" s="14" t="n">
        <v>46198</v>
      </c>
      <c r="B105" s="11" t="n">
        <f aca="false">COUNTIFS(Operaciones!$A$2:$A$446,"&gt;="&amp;A105,Operaciones!$A$2:$A$446,"&lt;"&amp;A105+1)</f>
        <v>1</v>
      </c>
      <c r="C105" s="12" t="n">
        <f aca="false">SUMIFS(Operaciones!$J$2:$J$446,Operaciones!$A$2:$A$446,"&gt;="&amp;A105,Operaciones!$A$2:$A$446,"&lt;"&amp;A105+1)</f>
        <v>-1.31</v>
      </c>
      <c r="D105" s="13" t="n">
        <f aca="false">IFERROR(AVERAGEIFS(Operaciones!$K$2:$K$446,Operaciones!$A$2:$A$446,"&gt;="&amp;A105,Operaciones!$A$2:$A$446,"&lt;"&amp;A105+1),"")</f>
        <v>-0.000655016375409386</v>
      </c>
      <c r="E105" s="12" t="n">
        <f aca="false">E104+C105</f>
        <v>1158.93</v>
      </c>
    </row>
    <row r="106" customFormat="false" ht="15" hidden="false" customHeight="false" outlineLevel="0" collapsed="false">
      <c r="A106" s="14" t="n">
        <v>46199</v>
      </c>
      <c r="B106" s="11" t="n">
        <f aca="false">COUNTIFS(Operaciones!$A$2:$A$446,"&gt;="&amp;A106,Operaciones!$A$2:$A$446,"&lt;"&amp;A106+1)</f>
        <v>1</v>
      </c>
      <c r="C106" s="12" t="n">
        <f aca="false">SUMIFS(Operaciones!$J$2:$J$446,Operaciones!$A$2:$A$446,"&gt;="&amp;A106,Operaciones!$A$2:$A$446,"&lt;"&amp;A106+1)</f>
        <v>-127.09</v>
      </c>
      <c r="D106" s="13" t="n">
        <f aca="false">IFERROR(AVERAGEIFS(Operaciones!$K$2:$K$446,Operaciones!$A$2:$A$446,"&gt;="&amp;A106,Operaciones!$A$2:$A$446,"&lt;"&amp;A106+1),"")</f>
        <v>-0.127105252630316</v>
      </c>
      <c r="E106" s="12" t="n">
        <f aca="false">E105+C106</f>
        <v>1031.84</v>
      </c>
    </row>
    <row r="107" customFormat="false" ht="15" hidden="false" customHeight="false" outlineLevel="0" collapsed="false">
      <c r="A107" s="14" t="n">
        <v>46200</v>
      </c>
      <c r="B107" s="11" t="n">
        <f aca="false">COUNTIFS(Operaciones!$A$2:$A$446,"&gt;="&amp;A107,Operaciones!$A$2:$A$446,"&lt;"&amp;A107+1)</f>
        <v>1</v>
      </c>
      <c r="C107" s="12" t="n">
        <f aca="false">SUMIFS(Operaciones!$J$2:$J$446,Operaciones!$A$2:$A$446,"&gt;="&amp;A107,Operaciones!$A$2:$A$446,"&lt;"&amp;A107+1)</f>
        <v>-13.95</v>
      </c>
      <c r="D107" s="13" t="n">
        <f aca="false">IFERROR(AVERAGEIFS(Operaciones!$K$2:$K$446,Operaciones!$A$2:$A$446,"&gt;="&amp;A107,Operaciones!$A$2:$A$446,"&lt;"&amp;A107+1),"")</f>
        <v>-0.013950139501395</v>
      </c>
      <c r="E107" s="12" t="n">
        <f aca="false">E106+C107</f>
        <v>1017.89</v>
      </c>
    </row>
    <row r="108" customFormat="false" ht="15" hidden="false" customHeight="false" outlineLevel="0" collapsed="false">
      <c r="A108" s="14" t="n">
        <v>46201</v>
      </c>
      <c r="B108" s="11" t="n">
        <f aca="false">COUNTIFS(Operaciones!$A$2:$A$446,"&gt;="&amp;A108,Operaciones!$A$2:$A$446,"&lt;"&amp;A108+1)</f>
        <v>3</v>
      </c>
      <c r="C108" s="12" t="n">
        <f aca="false">SUMIFS(Operaciones!$J$2:$J$446,Operaciones!$A$2:$A$446,"&gt;="&amp;A108,Operaciones!$A$2:$A$446,"&lt;"&amp;A108+1)</f>
        <v>507.12</v>
      </c>
      <c r="D108" s="13" t="n">
        <f aca="false">IFERROR(AVERAGEIFS(Operaciones!$K$2:$K$446,Operaciones!$A$2:$A$446,"&gt;="&amp;A108,Operaciones!$A$2:$A$446,"&lt;"&amp;A108+1),"")</f>
        <v>0.10858777192334</v>
      </c>
      <c r="E108" s="12" t="n">
        <f aca="false">E107+C108</f>
        <v>1525.01</v>
      </c>
    </row>
    <row r="109" customFormat="false" ht="15" hidden="false" customHeight="false" outlineLevel="0" collapsed="false">
      <c r="A109" s="14" t="n">
        <v>46202</v>
      </c>
      <c r="B109" s="11" t="n">
        <f aca="false">COUNTIFS(Operaciones!$A$2:$A$446,"&gt;="&amp;A109,Operaciones!$A$2:$A$446,"&lt;"&amp;A109+1)</f>
        <v>3</v>
      </c>
      <c r="C109" s="12" t="n">
        <f aca="false">SUMIFS(Operaciones!$J$2:$J$446,Operaciones!$A$2:$A$446,"&gt;="&amp;A109,Operaciones!$A$2:$A$446,"&lt;"&amp;A109+1)</f>
        <v>363.04</v>
      </c>
      <c r="D109" s="13" t="n">
        <f aca="false">IFERROR(AVERAGEIFS(Operaciones!$K$2:$K$446,Operaciones!$A$2:$A$446,"&gt;="&amp;A109,Operaciones!$A$2:$A$446,"&lt;"&amp;A109+1),"")</f>
        <v>0.0898597222148193</v>
      </c>
      <c r="E109" s="12" t="n">
        <f aca="false">E108+C109</f>
        <v>1888.05</v>
      </c>
    </row>
    <row r="110" customFormat="false" ht="15" hidden="false" customHeight="false" outlineLevel="0" collapsed="false">
      <c r="A110" s="14" t="n">
        <v>46203</v>
      </c>
      <c r="B110" s="11" t="n">
        <f aca="false">COUNTIFS(Operaciones!$A$2:$A$446,"&gt;="&amp;A110,Operaciones!$A$2:$A$446,"&lt;"&amp;A110+1)</f>
        <v>2</v>
      </c>
      <c r="C110" s="12" t="n">
        <f aca="false">SUMIFS(Operaciones!$J$2:$J$446,Operaciones!$A$2:$A$446,"&gt;="&amp;A110,Operaciones!$A$2:$A$446,"&lt;"&amp;A110+1)</f>
        <v>298.08</v>
      </c>
      <c r="D110" s="13" t="n">
        <f aca="false">IFERROR(AVERAGEIFS(Operaciones!$K$2:$K$446,Operaciones!$A$2:$A$446,"&gt;="&amp;A110,Operaciones!$A$2:$A$446,"&lt;"&amp;A110+1),"")</f>
        <v>0.14904</v>
      </c>
      <c r="E110" s="12" t="n">
        <f aca="false">E109+C110</f>
        <v>2186.13</v>
      </c>
    </row>
    <row r="111" customFormat="false" ht="15" hidden="false" customHeight="false" outlineLevel="0" collapsed="false">
      <c r="A111" s="14" t="n">
        <v>46204</v>
      </c>
      <c r="B111" s="11" t="n">
        <f aca="false">COUNTIFS(Operaciones!$A$2:$A$446,"&gt;="&amp;A111,Operaciones!$A$2:$A$446,"&lt;"&amp;A111+1)</f>
        <v>2</v>
      </c>
      <c r="C111" s="12" t="n">
        <f aca="false">SUMIFS(Operaciones!$J$2:$J$446,Operaciones!$A$2:$A$446,"&gt;="&amp;A111,Operaciones!$A$2:$A$446,"&lt;"&amp;A111+1)</f>
        <v>189</v>
      </c>
      <c r="D111" s="13" t="n">
        <f aca="false">IFERROR(AVERAGEIFS(Operaciones!$K$2:$K$446,Operaciones!$A$2:$A$446,"&gt;="&amp;A111,Operaciones!$A$2:$A$446,"&lt;"&amp;A111+1),"")</f>
        <v>0.0547321336520978</v>
      </c>
      <c r="E111" s="12" t="n">
        <f aca="false">E110+C111</f>
        <v>2375.13</v>
      </c>
    </row>
    <row r="112" customFormat="false" ht="15" hidden="false" customHeight="false" outlineLevel="0" collapsed="false">
      <c r="A112" s="14" t="n">
        <v>46205</v>
      </c>
      <c r="B112" s="11" t="n">
        <f aca="false">COUNTIFS(Operaciones!$A$2:$A$446,"&gt;="&amp;A112,Operaciones!$A$2:$A$446,"&lt;"&amp;A112+1)</f>
        <v>7</v>
      </c>
      <c r="C112" s="12" t="n">
        <f aca="false">SUMIFS(Operaciones!$J$2:$J$446,Operaciones!$A$2:$A$446,"&gt;="&amp;A112,Operaciones!$A$2:$A$446,"&lt;"&amp;A112+1)</f>
        <v>696.88</v>
      </c>
      <c r="D112" s="13" t="n">
        <f aca="false">IFERROR(AVERAGEIFS(Operaciones!$K$2:$K$446,Operaciones!$A$2:$A$446,"&gt;="&amp;A112,Operaciones!$A$2:$A$446,"&lt;"&amp;A112+1),"")</f>
        <v>0.0764131350253004</v>
      </c>
      <c r="E112" s="12" t="n">
        <f aca="false">E111+C112</f>
        <v>3072.01</v>
      </c>
    </row>
    <row r="113" customFormat="false" ht="15" hidden="false" customHeight="false" outlineLevel="0" collapsed="false">
      <c r="A113" s="14" t="n">
        <v>46206</v>
      </c>
      <c r="B113" s="11" t="n">
        <f aca="false">COUNTIFS(Operaciones!$A$2:$A$446,"&gt;="&amp;A113,Operaciones!$A$2:$A$446,"&lt;"&amp;A113+1)</f>
        <v>4</v>
      </c>
      <c r="C113" s="12" t="n">
        <f aca="false">SUMIFS(Operaciones!$J$2:$J$446,Operaciones!$A$2:$A$446,"&gt;="&amp;A113,Operaciones!$A$2:$A$446,"&lt;"&amp;A113+1)</f>
        <v>318.69</v>
      </c>
      <c r="D113" s="13" t="n">
        <f aca="false">IFERROR(AVERAGEIFS(Operaciones!$K$2:$K$446,Operaciones!$A$2:$A$446,"&gt;="&amp;A113,Operaciones!$A$2:$A$446,"&lt;"&amp;A113+1),"")</f>
        <v>0.0796757541819343</v>
      </c>
      <c r="E113" s="12" t="n">
        <f aca="false">E112+C113</f>
        <v>3390.7</v>
      </c>
    </row>
    <row r="114" customFormat="false" ht="15" hidden="false" customHeight="false" outlineLevel="0" collapsed="false">
      <c r="A114" s="14" t="n">
        <v>46207</v>
      </c>
      <c r="B114" s="11" t="n">
        <f aca="false">COUNTIFS(Operaciones!$A$2:$A$446,"&gt;="&amp;A114,Operaciones!$A$2:$A$446,"&lt;"&amp;A114+1)</f>
        <v>2</v>
      </c>
      <c r="C114" s="12" t="n">
        <f aca="false">SUMIFS(Operaciones!$J$2:$J$446,Operaciones!$A$2:$A$446,"&gt;="&amp;A114,Operaciones!$A$2:$A$446,"&lt;"&amp;A114+1)</f>
        <v>249.4</v>
      </c>
      <c r="D114" s="13" t="n">
        <f aca="false">IFERROR(AVERAGEIFS(Operaciones!$K$2:$K$446,Operaciones!$A$2:$A$446,"&gt;="&amp;A114,Operaciones!$A$2:$A$446,"&lt;"&amp;A114+1),"")</f>
        <v>0.124700504405044</v>
      </c>
      <c r="E114" s="12" t="n">
        <f aca="false">E113+C114</f>
        <v>3640.1</v>
      </c>
    </row>
    <row r="115" customFormat="false" ht="15" hidden="false" customHeight="false" outlineLevel="0" collapsed="false">
      <c r="A115" s="14" t="n">
        <v>46208</v>
      </c>
      <c r="B115" s="11" t="n">
        <f aca="false">COUNTIFS(Operaciones!$A$2:$A$446,"&gt;="&amp;A115,Operaciones!$A$2:$A$446,"&lt;"&amp;A115+1)</f>
        <v>3</v>
      </c>
      <c r="C115" s="12" t="n">
        <f aca="false">SUMIFS(Operaciones!$J$2:$J$446,Operaciones!$A$2:$A$446,"&gt;="&amp;A115,Operaciones!$A$2:$A$446,"&lt;"&amp;A115+1)</f>
        <v>415.97</v>
      </c>
      <c r="D115" s="13" t="n">
        <f aca="false">IFERROR(AVERAGEIFS(Operaciones!$K$2:$K$446,Operaciones!$A$2:$A$446,"&gt;="&amp;A115,Operaciones!$A$2:$A$446,"&lt;"&amp;A115+1),"")</f>
        <v>0.101058333333333</v>
      </c>
      <c r="E115" s="12" t="n">
        <f aca="false">E114+C115</f>
        <v>4056.07</v>
      </c>
    </row>
    <row r="116" customFormat="false" ht="15" hidden="false" customHeight="false" outlineLevel="0" collapsed="false">
      <c r="A116" s="14" t="n">
        <v>46209</v>
      </c>
      <c r="B116" s="11" t="n">
        <f aca="false">COUNTIFS(Operaciones!$A$2:$A$446,"&gt;="&amp;A116,Operaciones!$A$2:$A$446,"&lt;"&amp;A116+1)</f>
        <v>2</v>
      </c>
      <c r="C116" s="12" t="n">
        <f aca="false">SUMIFS(Operaciones!$J$2:$J$446,Operaciones!$A$2:$A$446,"&gt;="&amp;A116,Operaciones!$A$2:$A$446,"&lt;"&amp;A116+1)</f>
        <v>-978.31</v>
      </c>
      <c r="D116" s="13" t="n">
        <f aca="false">IFERROR(AVERAGEIFS(Operaciones!$K$2:$K$446,Operaciones!$A$2:$A$446,"&gt;="&amp;A116,Operaciones!$A$2:$A$446,"&lt;"&amp;A116+1),"")</f>
        <v>-0.489155</v>
      </c>
      <c r="E116" s="12" t="n">
        <f aca="false">E115+C116</f>
        <v>3077.76</v>
      </c>
    </row>
    <row r="117" customFormat="false" ht="15" hidden="false" customHeight="false" outlineLevel="0" collapsed="false">
      <c r="A117" s="14" t="n">
        <v>46212</v>
      </c>
      <c r="B117" s="11" t="n">
        <f aca="false">COUNTIFS(Operaciones!$A$2:$A$446,"&gt;="&amp;A117,Operaciones!$A$2:$A$446,"&lt;"&amp;A117+1)</f>
        <v>2</v>
      </c>
      <c r="C117" s="12" t="n">
        <f aca="false">SUMIFS(Operaciones!$J$2:$J$446,Operaciones!$A$2:$A$446,"&gt;="&amp;A117,Operaciones!$A$2:$A$446,"&lt;"&amp;A117+1)</f>
        <v>404.82</v>
      </c>
      <c r="D117" s="13" t="n">
        <f aca="false">IFERROR(AVERAGEIFS(Operaciones!$K$2:$K$446,Operaciones!$A$2:$A$446,"&gt;="&amp;A117,Operaciones!$A$2:$A$446,"&lt;"&amp;A117+1),"")</f>
        <v>0.20241</v>
      </c>
      <c r="E117" s="12" t="n">
        <f aca="false">E116+C117</f>
        <v>3482.58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2026-07-09T17:14:43Z</dcterms:created>
  <dc:creator>openpyxl</dc:creator>
  <dc:description/>
  <dc:language>en-US</dc:language>
  <cp:lastModifiedBy/>
  <dcterms:modified xsi:type="dcterms:W3CDTF">2026-07-09T17:14:44Z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